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93b185ab0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5d5657b727e54917"/>
    <x:sheet xmlns:r="http://schemas.openxmlformats.org/officeDocument/2006/relationships" name="Adimensional_A" sheetId="2" r:id="R2bc2ecd6d6cc4bc9"/>
    <x:sheet xmlns:r="http://schemas.openxmlformats.org/officeDocument/2006/relationships" name="Normalized_B" sheetId="3" r:id="Ra9acc8050e9a4af1"/>
    <x:sheet xmlns:r="http://schemas.openxmlformats.org/officeDocument/2006/relationships" name="Reference_Stats" sheetId="4" r:id="R9124a2e0e34d491d"/>
    <x:sheet xmlns:r="http://schemas.openxmlformats.org/officeDocument/2006/relationships" name="Documentation" sheetId="5" r:id="R2d770c6fadd74029"/>
    <x:sheet xmlns:r="http://schemas.openxmlformats.org/officeDocument/2006/relationships" name="Correction_Audit" sheetId="6" r:id="R771dbc164d254ce1"/>
  </x:sheets>
</x:workbook>
</file>

<file path=xl/sharedStrings.xml><?xml version="1.0" encoding="utf-8"?>
<x:sst xmlns:x="http://schemas.openxmlformats.org/spreadsheetml/2006/main">
  <x:si>
    <x:t xml:space="preserve">h1_cm</x:t>
  </x:si>
  <x:si>
    <x:t xml:space="preserve">dH_cm</x:t>
  </x:si>
  <x:si>
    <x:t xml:space="preserve">Fr1</x:t>
  </x:si>
  <x:si>
    <x:t xml:space="preserve">s_cm</x:t>
  </x:si>
  <x:si>
    <x:t xml:space="preserve">x_cm</x:t>
  </x:si>
  <x:si>
    <x:t xml:space="preserve">h2_cm</x:t>
  </x:si>
  <x:si>
    <x:t xml:space="preserve">Lr_star_cm</x:t>
  </x:si>
  <x:si>
    <x:t xml:space="preserve">gamma</x:t>
  </x:si>
  <x:si>
    <x:t xml:space="preserve">gamma_class</x:t>
  </x:si>
  <x:si>
    <x:t xml:space="preserve">Split</x:t>
  </x:si>
  <x:si>
    <x:t xml:space="preserve">γ≈1.00</x:t>
  </x:si>
  <x:si>
    <x:t xml:space="preserve">Train</x:t>
  </x:si>
  <x:si>
    <x:t xml:space="preserve">Test</x:t>
  </x:si>
  <x:si>
    <x:t xml:space="preserve">γ≈1.15</x:t>
  </x:si>
  <x:si>
    <x:t xml:space="preserve">γ≈1.30</x:t>
  </x:si>
  <x:si>
    <x:t xml:space="preserve">γ≈1.45</x:t>
  </x:si>
  <x:si>
    <x:t xml:space="preserve">γ≈1.60</x:t>
  </x:si>
  <x:si>
    <x:t xml:space="preserve">γ≈1.93</x:t>
  </x:si>
  <x:si>
    <x:t xml:space="preserve">Index</x:t>
  </x:si>
  <x:si>
    <x:t xml:space="preserve">h1_n</x:t>
  </x:si>
  <x:si>
    <x:t xml:space="preserve">Y</x:t>
  </x:si>
  <x:si>
    <x:t xml:space="preserve">S</x:t>
  </x:si>
  <x:si>
    <x:t xml:space="preserve">X</x:t>
  </x:si>
  <x:si>
    <x:t xml:space="preserve">Lr_star_h1</x:t>
  </x:si>
  <x:si>
    <x:t xml:space="preserve">Fr1_z</x:t>
  </x:si>
  <x:si>
    <x:t xml:space="preserve">h1_n_z</x:t>
  </x:si>
  <x:si>
    <x:t xml:space="preserve">gamma_z</x:t>
  </x:si>
  <x:si>
    <x:t xml:space="preserve">Y_z</x:t>
  </x:si>
  <x:si>
    <x:t xml:space="preserve">S_z</x:t>
  </x:si>
  <x:si>
    <x:t xml:space="preserve">X_z</x:t>
  </x:si>
  <x:si>
    <x:t xml:space="preserve">Variable</x:t>
  </x:si>
  <x:si>
    <x:t xml:space="preserve">mu</x:t>
  </x:si>
  <x:si>
    <x:t xml:space="preserve">sigma</x:t>
  </x:si>
  <x:si>
    <x:t xml:space="preserve">unit</x:t>
  </x:si>
  <x:si>
    <x:t xml:space="preserve">role</x:t>
  </x:si>
  <x:si>
    <x:t xml:space="preserve">-</x:t>
  </x:si>
  <x:si>
    <x:t xml:space="preserve">input</x:t>
  </x:si>
  <x:si>
    <x:t xml:space="preserve">output</x:t>
  </x:si>
  <x:si>
    <x:t xml:space="preserve">h1_ref</x:t>
  </x:si>
  <x:si>
    <x:t xml:space="preserve">cm</x:t>
  </x:si>
  <x:si>
    <x:t xml:space="preserve">reference</x:t>
  </x:si>
  <x:si>
    <x:t xml:space="preserve">Field</x:t>
  </x:si>
  <x:si>
    <x:t xml:space="preserve">Value</x:t>
  </x:si>
  <x:si>
    <x:t xml:space="preserve">Method</x:t>
  </x:si>
  <x:si>
    <x:t xml:space="preserve">Physical non-dimensionalization + Z-score standardization</x:t>
  </x:si>
  <x:si>
    <x:t xml:space="preserve">Step 1 (A)</x:t>
  </x:si>
  <x:si>
    <x:t xml:space="preserve">Convert all length variables to ratios with respect to h₁</x:t>
  </x:si>
  <x:si>
    <x:t xml:space="preserve">  Y = h₂/h₁    (conjugate depth ratio)</x:t>
  </x:si>
  <x:si>
    <x:t xml:space="preserve">  S = s/h₁     (relative sill height)</x:t>
  </x:si>
  <x:si>
    <x:t xml:space="preserve">  X = x/h₁     (relative sill position)</x:t>
  </x:si>
  <x:si>
    <x:t xml:space="preserve">  h1_n = h₁/h̄₁ (h₁ normalized by sample mean)</x:t>
  </x:si>
  <x:si>
    <x:t xml:space="preserve">Step 2 (B)</x:t>
  </x:si>
  <x:si>
    <x:t xml:space="preserve">Apply Z-score: z = (x - μ) / σ on adimensional variables</x:t>
  </x:si>
  <x:si>
    <x:t xml:space="preserve">Goal : equalize the dynamic range of all inputs and outputs</x:t>
  </x:si>
  <x:si>
    <x:t xml:space="preserve">Critical for : stable Adam optimization, balanced MSE loss</x:t>
  </x:si>
  <x:si>
    <x:t xml:space="preserve">Inverse</x:t>
  </x:si>
  <x:si>
    <x:t xml:space="preserve">To predict y_true from y_z_pred: y_true = y_z_pred * σ + μ</x:t>
  </x:si>
  <x:si>
    <x:t xml:space="preserve">Use values from sheet Reference_Stats</x:t>
  </x:si>
  <x:si>
    <x:t xml:space="preserve">Reference</x:t>
  </x:si>
  <x:si>
    <x:t xml:space="preserve">Number of samples : 151</x:t>
  </x:si>
  <x:si>
    <x:t xml:space="preserve">Train/Test split  : 114 / 37 (stratified by γ class, seed=42)</x:t>
  </x:si>
  <x:si>
    <x:t xml:space="preserve">γ classes (6)     : [1.0, 1.15, 1.3, 1.45, 1.6, 1.93]</x:t>
  </x:si>
  <x:si>
    <x:t xml:space="preserve">Citation</x:t>
  </x:si>
  <x:si>
    <x:t xml:space="preserve">Debabeche, M. (2001). Le ressaut hydraulique dans les canaux prismatiques. PhD thesis, Univ. Biskra.</x:t>
  </x:si>
</x:sst>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"/>
  </x:numFmts>
  <x:fonts count="4">
    <x:font>
      <x:sz val="11"/>
      <x:color theme="1"/>
      <x:name val="Calibri"/>
    </x:font>
    <x:font>
      <x:b/>
      <x:sz val="11"/>
      <x:color rgb="FFFFFFFF"/>
      <x:name val="Calibri"/>
    </x:font>
    <x:font>
      <x:b/>
      <x:sz val="11"/>
      <x:color rgb="FF1F1F1F"/>
      <x:name val="Calibri"/>
    </x:font>
    <x:font>
      <x:b/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3cfdd6a184527" /><Relationship Type="http://schemas.openxmlformats.org/officeDocument/2006/relationships/theme" Target="/xl/theme/theme1.xml" Id="R61cd6a84ce8845e1" /><Relationship Type="http://schemas.openxmlformats.org/officeDocument/2006/relationships/sharedStrings" Target="/xl/sharedStrings.xml" Id="R976e873682444954" /><Relationship Type="http://schemas.openxmlformats.org/officeDocument/2006/relationships/worksheet" Target="/xl/worksheets/sheet1.xml" Id="R5d5657b727e54917" /><Relationship Type="http://schemas.openxmlformats.org/officeDocument/2006/relationships/worksheet" Target="/xl/worksheets/sheet2.xml" Id="R2bc2ecd6d6cc4bc9" /><Relationship Type="http://schemas.openxmlformats.org/officeDocument/2006/relationships/worksheet" Target="/xl/worksheets/sheet3.xml" Id="Ra9acc8050e9a4af1" /><Relationship Type="http://schemas.openxmlformats.org/officeDocument/2006/relationships/worksheet" Target="/xl/worksheets/sheet4.xml" Id="R9124a2e0e34d491d" /><Relationship Type="http://schemas.openxmlformats.org/officeDocument/2006/relationships/worksheet" Target="/xl/worksheets/sheet5.xml" Id="R2d770c6fadd74029" /><Relationship Type="http://schemas.openxmlformats.org/officeDocument/2006/relationships/worksheet" Target="/xl/worksheets/sheet6.xml" Id="R771dbc164d254ce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7" max="7" width="11.85546875" customWidth="1"/>
    <x:col min="8" max="8" width="11.14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>
        <x:v>2.7</x:v>
      </x:c>
      <x:c r="C2">
        <x:v>3.61</x:v>
      </x:c>
      <x:c r="D2">
        <x:v>5</x:v>
      </x:c>
      <x:c r="E2">
        <x:v>50</x:v>
      </x:c>
      <x:c r="F2">
        <x:v>12.3</x:v>
      </x:c>
      <x:c r="G2">
        <x:v>44.65</x:v>
      </x:c>
      <x:c r="H2">
        <x:v>0.89300000000000002</x:v>
      </x:c>
      <x:c r="I2" t="s">
        <x:v>10</x:v>
      </x:c>
      <x:c r="J2" t="s">
        <x:v>11</x:v>
      </x:c>
    </x:row>
    <x:row r="3">
      <x:c r="A3">
        <x:v>2.7</x:v>
      </x:c>
      <x:c r="C3">
        <x:v>3.44</x:v>
      </x:c>
      <x:c r="D3">
        <x:v>4.5</x:v>
      </x:c>
      <x:c r="E3">
        <x:v>46</x:v>
      </x:c>
      <x:c r="F3">
        <x:v>11.8</x:v>
      </x:c>
      <x:c r="G3">
        <x:v>41.16</x:v>
      </x:c>
      <x:c r="H3">
        <x:v>0.89500000000000002</x:v>
      </x:c>
      <x:c r="I3" t="s">
        <x:v>10</x:v>
      </x:c>
      <x:c r="J3" t="s">
        <x:v>11</x:v>
      </x:c>
    </x:row>
    <x:row r="4">
      <x:c r="A4">
        <x:v>1.6</x:v>
      </x:c>
      <x:c r="C4">
        <x:v>8.17</x:v>
      </x:c>
      <x:c r="D4">
        <x:v>8</x:v>
      </x:c>
      <x:c r="E4">
        <x:v>84</x:v>
      </x:c>
      <x:c r="F4">
        <x:v>16.8</x:v>
      </x:c>
      <x:c r="G4">
        <x:v>79.900000000000006</x:v>
      </x:c>
      <x:c r="H4">
        <x:v>0.95099999999999996</x:v>
      </x:c>
      <x:c r="I4" t="s">
        <x:v>10</x:v>
      </x:c>
      <x:c r="J4" t="s">
        <x:v>11</x:v>
      </x:c>
    </x:row>
    <x:row r="5">
      <x:c r="A5">
        <x:v>1.6</x:v>
      </x:c>
      <x:c r="C5">
        <x:v>6.75</x:v>
      </x:c>
      <x:c r="D5">
        <x:v>6</x:v>
      </x:c>
      <x:c r="E5">
        <x:v>67</x:v>
      </x:c>
      <x:c r="F5">
        <x:v>13.6</x:v>
      </x:c>
      <x:c r="G5">
        <x:v>64.08</x:v>
      </x:c>
      <x:c r="H5">
        <x:v>0.95599999999999996</x:v>
      </x:c>
      <x:c r="I5" t="s">
        <x:v>10</x:v>
      </x:c>
      <x:c r="J5" t="s">
        <x:v>11</x:v>
      </x:c>
    </x:row>
    <x:row r="6">
      <x:c r="A6">
        <x:v>2.4</x:v>
      </x:c>
      <x:c r="C6">
        <x:v>6.12</x:v>
      </x:c>
      <x:c r="D6">
        <x:v>9</x:v>
      </x:c>
      <x:c r="E6">
        <x:v>89</x:v>
      </x:c>
      <x:c r="F6">
        <x:v>19.7</x:v>
      </x:c>
      <x:c r="G6">
        <x:v>85.16</x:v>
      </x:c>
      <x:c r="H6">
        <x:v>0.95699999999999996</x:v>
      </x:c>
      <x:c r="I6" t="s">
        <x:v>10</x:v>
      </x:c>
      <x:c r="J6" t="s">
        <x:v>11</x:v>
      </x:c>
    </x:row>
    <x:row r="7">
      <x:c r="A7">
        <x:v>1.6</x:v>
      </x:c>
      <x:c r="C7">
        <x:v>4.8899999999999997</x:v>
      </x:c>
      <x:c r="D7">
        <x:v>4</x:v>
      </x:c>
      <x:c r="E7">
        <x:v>44</x:v>
      </x:c>
      <x:c r="F7">
        <x:v>9.5</x:v>
      </x:c>
      <x:c r="G7">
        <x:v>42.18</x:v>
      </x:c>
      <x:c r="H7">
        <x:v>0.95899999999999996</x:v>
      </x:c>
      <x:c r="I7" t="s">
        <x:v>10</x:v>
      </x:c>
      <x:c r="J7" t="s">
        <x:v>11</x:v>
      </x:c>
    </x:row>
    <x:row r="8">
      <x:c r="A8">
        <x:v>1.6</x:v>
      </x:c>
      <x:c r="C8">
        <x:v>3.99</x:v>
      </x:c>
      <x:c r="D8">
        <x:v>2.5</x:v>
      </x:c>
      <x:c r="E8">
        <x:v>32</x:v>
      </x:c>
      <x:c r="F8">
        <x:v>6.3</x:v>
      </x:c>
      <x:c r="G8">
        <x:v>31.15</x:v>
      </x:c>
      <x:c r="H8">
        <x:v>0.97299999999999998</x:v>
      </x:c>
      <x:c r="I8" t="s">
        <x:v>10</x:v>
      </x:c>
      <x:c r="J8" t="s">
        <x:v>11</x:v>
      </x:c>
    </x:row>
    <x:row r="9">
      <x:c r="A9">
        <x:v>1.6</x:v>
      </x:c>
      <x:c r="C9">
        <x:v>5.68</x:v>
      </x:c>
      <x:c r="D9">
        <x:v>4.5</x:v>
      </x:c>
      <x:c r="E9">
        <x:v>53</x:v>
      </x:c>
      <x:c r="F9">
        <x:v>10.4</x:v>
      </x:c>
      <x:c r="G9">
        <x:v>51.62</x:v>
      </x:c>
      <x:c r="H9">
        <x:v>0.97399999999999998</x:v>
      </x:c>
      <x:c r="I9" t="s">
        <x:v>10</x:v>
      </x:c>
      <x:c r="J9" t="s">
        <x:v>12</x:v>
      </x:c>
    </x:row>
    <x:row r="10">
      <x:c r="A10">
        <x:v>1.6</x:v>
      </x:c>
      <x:c r="C10">
        <x:v>6.1</x:v>
      </x:c>
      <x:c r="D10">
        <x:v>5</x:v>
      </x:c>
      <x:c r="E10">
        <x:v>58</x:v>
      </x:c>
      <x:c r="F10">
        <x:v>11.8</x:v>
      </x:c>
      <x:c r="G10">
        <x:v>56.51</x:v>
      </x:c>
      <x:c r="H10">
        <x:v>0.97399999999999998</x:v>
      </x:c>
      <x:c r="I10" t="s">
        <x:v>10</x:v>
      </x:c>
      <x:c r="J10" t="s">
        <x:v>11</x:v>
      </x:c>
    </x:row>
    <x:row r="11">
      <x:c r="A11">
        <x:v>4.5</x:v>
      </x:c>
      <x:c r="C11">
        <x:v>3.05</x:v>
      </x:c>
      <x:c r="D11">
        <x:v>5</x:v>
      </x:c>
      <x:c r="E11">
        <x:v>55</x:v>
      </x:c>
      <x:c r="F11">
        <x:v>15.8</x:v>
      </x:c>
      <x:c r="G11">
        <x:v>53.61</x:v>
      </x:c>
      <x:c r="H11">
        <x:v>0.97499999999999998</x:v>
      </x:c>
      <x:c r="I11" t="s">
        <x:v>10</x:v>
      </x:c>
      <x:c r="J11" t="s">
        <x:v>11</x:v>
      </x:c>
    </x:row>
    <x:row r="12">
      <x:c r="A12">
        <x:v>1.7</x:v>
      </x:c>
      <x:c r="C12">
        <x:v>6.16</x:v>
      </x:c>
      <x:c r="D12">
        <x:v>7</x:v>
      </x:c>
      <x:c r="E12">
        <x:v>62</x:v>
      </x:c>
      <x:c r="F12">
        <x:v>13.4</x:v>
      </x:c>
      <x:c r="G12">
        <x:v>60.88</x:v>
      </x:c>
      <x:c r="H12">
        <x:v>0.98199999999999998</x:v>
      </x:c>
      <x:c r="I12" t="s">
        <x:v>10</x:v>
      </x:c>
      <x:c r="J12" t="s">
        <x:v>12</x:v>
      </x:c>
    </x:row>
    <x:row r="13">
      <x:c r="A13">
        <x:v>1.6</x:v>
      </x:c>
      <x:c r="C13">
        <x:v>8.99</x:v>
      </x:c>
      <x:c r="D13">
        <x:v>9</x:v>
      </x:c>
      <x:c r="E13">
        <x:v>90</x:v>
      </x:c>
      <x:c r="F13">
        <x:v>18.600000000000001</x:v>
      </x:c>
      <x:c r="G13">
        <x:v>88.73</x:v>
      </x:c>
      <x:c r="H13">
        <x:v>0.98599999999999999</x:v>
      </x:c>
      <x:c r="I13" t="s">
        <x:v>10</x:v>
      </x:c>
      <x:c r="J13" t="s">
        <x:v>11</x:v>
      </x:c>
    </x:row>
    <x:row r="14">
      <x:c r="A14">
        <x:v>3.4</x:v>
      </x:c>
      <x:c r="C14">
        <x:v>4.2</x:v>
      </x:c>
      <x:c r="D14">
        <x:v>7</x:v>
      </x:c>
      <x:c r="E14">
        <x:v>70</x:v>
      </x:c>
      <x:c r="F14">
        <x:v>17.3</x:v>
      </x:c>
      <x:c r="G14">
        <x:v>69.349999999999994</x:v>
      </x:c>
      <x:c r="H14">
        <x:v>0.99099999999999999</x:v>
      </x:c>
      <x:c r="I14" t="s">
        <x:v>10</x:v>
      </x:c>
      <x:c r="J14" t="s">
        <x:v>11</x:v>
      </x:c>
    </x:row>
    <x:row r="15">
      <x:c r="A15">
        <x:v>2.2999999999999998</x:v>
      </x:c>
      <x:c r="C15">
        <x:v>7.45</x:v>
      </x:c>
      <x:c r="D15">
        <x:v>11</x:v>
      </x:c>
      <x:c r="E15">
        <x:v>104</x:v>
      </x:c>
      <x:c r="F15">
        <x:v>23.7</x:v>
      </x:c>
      <x:c r="G15">
        <x:v>103.53</x:v>
      </x:c>
      <x:c r="H15">
        <x:v>0.995</x:v>
      </x:c>
      <x:c r="I15" t="s">
        <x:v>10</x:v>
      </x:c>
      <x:c r="J15" t="s">
        <x:v>11</x:v>
      </x:c>
    </x:row>
    <x:row r="16">
      <x:c r="A16" s="30" t="n">
        <x:v>2.5</x:v>
      </x:c>
      <x:c r="C16">
        <x:v>4.99</x:v>
      </x:c>
      <x:c r="D16">
        <x:v>7</x:v>
      </x:c>
      <x:c r="E16">
        <x:v>68</x:v>
      </x:c>
      <x:c r="F16">
        <x:v>16.100000000000001</x:v>
      </x:c>
      <x:c r="G16">
        <x:v>67.81</x:v>
      </x:c>
      <x:c r="H16">
        <x:v>0.997</x:v>
      </x:c>
      <x:c r="I16" t="s">
        <x:v>10</x:v>
      </x:c>
      <x:c r="J16" t="s">
        <x:v>12</x:v>
      </x:c>
    </x:row>
    <x:row r="17">
      <x:c r="A17">
        <x:v>3.4</x:v>
      </x:c>
      <x:c r="C17">
        <x:v>3.4</x:v>
      </x:c>
      <x:c r="D17">
        <x:v>5</x:v>
      </x:c>
      <x:c r="E17">
        <x:v>49.5</x:v>
      </x:c>
      <x:c r="F17">
        <x:v>14.5</x:v>
      </x:c>
      <x:c r="G17">
        <x:v>49.38</x:v>
      </x:c>
      <x:c r="H17">
        <x:v>0.998</x:v>
      </x:c>
      <x:c r="I17" t="s">
        <x:v>10</x:v>
      </x:c>
      <x:c r="J17" t="s">
        <x:v>11</x:v>
      </x:c>
    </x:row>
    <x:row r="18">
      <x:c r="A18">
        <x:v>2.5</x:v>
      </x:c>
      <x:c r="C18">
        <x:v>5.42</x:v>
      </x:c>
      <x:c r="D18">
        <x:v>8</x:v>
      </x:c>
      <x:c r="E18">
        <x:v>76</x:v>
      </x:c>
      <x:c r="F18">
        <x:v>18</x:v>
      </x:c>
      <x:c r="G18">
        <x:v>75.849999999999994</x:v>
      </x:c>
      <x:c r="H18">
        <x:v>0.998</x:v>
      </x:c>
      <x:c r="I18" t="s">
        <x:v>10</x:v>
      </x:c>
      <x:c r="J18" t="s">
        <x:v>11</x:v>
      </x:c>
    </x:row>
    <x:row r="19">
      <x:c r="A19">
        <x:v>2.2999999999999998</x:v>
      </x:c>
      <x:c r="C19">
        <x:v>8.17</x:v>
      </x:c>
      <x:c r="D19">
        <x:v>12</x:v>
      </x:c>
      <x:c r="E19">
        <x:v>115</x:v>
      </x:c>
      <x:c r="F19">
        <x:v>24.7</x:v>
      </x:c>
      <x:c r="G19">
        <x:v>114.82</x:v>
      </x:c>
      <x:c r="H19">
        <x:v>0.998</x:v>
      </x:c>
      <x:c r="I19" t="s">
        <x:v>10</x:v>
      </x:c>
      <x:c r="J19" t="s">
        <x:v>11</x:v>
      </x:c>
    </x:row>
    <x:row r="20">
      <x:c r="A20">
        <x:v>2.5</x:v>
      </x:c>
      <x:c r="C20">
        <x:v>3.69</x:v>
      </x:c>
      <x:c r="D20">
        <x:v>4</x:v>
      </x:c>
      <x:c r="E20">
        <x:v>43</x:v>
      </x:c>
      <x:c r="F20">
        <x:v>11.4</x:v>
      </x:c>
      <x:c r="G20">
        <x:v>42.95</x:v>
      </x:c>
      <x:c r="H20">
        <x:v>0.999</x:v>
      </x:c>
      <x:c r="I20" t="s">
        <x:v>10</x:v>
      </x:c>
      <x:c r="J20" t="s">
        <x:v>12</x:v>
      </x:c>
    </x:row>
    <x:row r="21">
      <x:c r="A21">
        <x:v>2.5</x:v>
      </x:c>
      <x:c r="C21">
        <x:v>4.5199999999999996</x:v>
      </x:c>
      <x:c r="D21">
        <x:v>6</x:v>
      </x:c>
      <x:c r="E21">
        <x:v>59</x:v>
      </x:c>
      <x:c r="F21">
        <x:v>14.5</x:v>
      </x:c>
      <x:c r="G21">
        <x:v>58.94</x:v>
      </x:c>
      <x:c r="H21">
        <x:v>0.999</x:v>
      </x:c>
      <x:c r="I21" t="s">
        <x:v>10</x:v>
      </x:c>
      <x:c r="J21" t="s">
        <x:v>11</x:v>
      </x:c>
    </x:row>
    <x:row r="22">
      <x:c r="A22">
        <x:v>2.2999999999999998</x:v>
      </x:c>
      <x:c r="C22">
        <x:v>9.15</x:v>
      </x:c>
      <x:c r="D22">
        <x:v>14</x:v>
      </x:c>
      <x:c r="E22">
        <x:v>130</x:v>
      </x:c>
      <x:c r="F22">
        <x:v>27</x:v>
      </x:c>
      <x:c r="G22">
        <x:v>129.87</x:v>
      </x:c>
      <x:c r="H22">
        <x:v>0.999</x:v>
      </x:c>
      <x:c r="I22" t="s">
        <x:v>10</x:v>
      </x:c>
      <x:c r="J22" t="s">
        <x:v>12</x:v>
      </x:c>
    </x:row>
    <x:row r="23">
      <x:c r="A23">
        <x:v>2.4</x:v>
      </x:c>
      <x:c r="C23">
        <x:v>7.28</x:v>
      </x:c>
      <x:c r="D23">
        <x:v>10</x:v>
      </x:c>
      <x:c r="E23">
        <x:v>105</x:v>
      </x:c>
      <x:c r="F23">
        <x:v>22.5</x:v>
      </x:c>
      <x:c r="G23">
        <x:v>105.04</x:v>
      </x:c>
      <x:c r="H23">
        <x:v>1</x:v>
      </x:c>
      <x:c r="I23" t="s">
        <x:v>10</x:v>
      </x:c>
      <x:c r="J23" t="s">
        <x:v>11</x:v>
      </x:c>
    </x:row>
    <x:row r="24">
      <x:c r="A24">
        <x:v>2.4</x:v>
      </x:c>
      <x:c r="C24">
        <x:v>4.49</x:v>
      </x:c>
      <x:c r="D24">
        <x:v>5</x:v>
      </x:c>
      <x:c r="E24">
        <x:v>56</x:v>
      </x:c>
      <x:c r="F24">
        <x:v>13.7</x:v>
      </x:c>
      <x:c r="G24">
        <x:v>56.04</x:v>
      </x:c>
      <x:c r="H24">
        <x:v>1.0009999999999999</x:v>
      </x:c>
      <x:c r="I24" t="s">
        <x:v>10</x:v>
      </x:c>
      <x:c r="J24" t="s">
        <x:v>12</x:v>
      </x:c>
    </x:row>
    <x:row r="25">
      <x:c r="A25">
        <x:v>2.2999999999999998</x:v>
      </x:c>
      <x:c r="C25">
        <x:v>8.51</x:v>
      </x:c>
      <x:c r="D25">
        <x:v>13</x:v>
      </x:c>
      <x:c r="E25">
        <x:v>120</x:v>
      </x:c>
      <x:c r="F25">
        <x:v>26</x:v>
      </x:c>
      <x:c r="G25">
        <x:v>120.24</x:v>
      </x:c>
      <x:c r="H25">
        <x:v>1.002</x:v>
      </x:c>
      <x:c r="I25" t="s">
        <x:v>10</x:v>
      </x:c>
      <x:c r="J25" t="s">
        <x:v>12</x:v>
      </x:c>
    </x:row>
    <x:row r="26">
      <x:c r="A26">
        <x:v>3.4</x:v>
      </x:c>
      <x:c r="C26">
        <x:v>3.83</x:v>
      </x:c>
      <x:c r="D26">
        <x:v>6</x:v>
      </x:c>
      <x:c r="E26">
        <x:v>60</x:v>
      </x:c>
      <x:c r="F26">
        <x:v>15.5</x:v>
      </x:c>
      <x:c r="G26">
        <x:v>60.21</x:v>
      </x:c>
      <x:c r="H26">
        <x:v>1.004</x:v>
      </x:c>
      <x:c r="I26" t="s">
        <x:v>10</x:v>
      </x:c>
      <x:c r="J26" t="s">
        <x:v>11</x:v>
      </x:c>
    </x:row>
    <x:row r="27">
      <x:c r="A27">
        <x:v>2.2999999999999998</x:v>
      </x:c>
      <x:c r="C27">
        <x:v>6.95</x:v>
      </x:c>
      <x:c r="D27">
        <x:v>10</x:v>
      </x:c>
      <x:c r="E27">
        <x:v>95</x:v>
      </x:c>
      <x:c r="F27">
        <x:v>21.7</x:v>
      </x:c>
      <x:c r="G27">
        <x:v>95.4</x:v>
      </x:c>
      <x:c r="H27">
        <x:v>1.004</x:v>
      </x:c>
      <x:c r="I27" t="s">
        <x:v>10</x:v>
      </x:c>
      <x:c r="J27" t="s">
        <x:v>11</x:v>
      </x:c>
    </x:row>
    <x:row r="28">
      <x:c r="A28">
        <x:v>3.4</x:v>
      </x:c>
      <x:c r="C28">
        <x:v>4.58</x:v>
      </x:c>
      <x:c r="D28">
        <x:v>8</x:v>
      </x:c>
      <x:c r="E28">
        <x:v>78</x:v>
      </x:c>
      <x:c r="F28">
        <x:v>18.5</x:v>
      </x:c>
      <x:c r="G28">
        <x:v>78.39</x:v>
      </x:c>
      <x:c r="H28">
        <x:v>1.0049999999999999</x:v>
      </x:c>
      <x:c r="I28" t="s">
        <x:v>10</x:v>
      </x:c>
      <x:c r="J28" t="s">
        <x:v>11</x:v>
      </x:c>
    </x:row>
    <x:row r="29">
      <x:c r="A29">
        <x:v>2.8</x:v>
      </x:c>
      <x:c r="C29">
        <x:v>2.8</x:v>
      </x:c>
      <x:c r="D29">
        <x:v>3</x:v>
      </x:c>
      <x:c r="E29">
        <x:v>28.5</x:v>
      </x:c>
      <x:c r="F29">
        <x:v>9.4</x:v>
      </x:c>
      <x:c r="G29">
        <x:v>28.75</x:v>
      </x:c>
      <x:c r="H29">
        <x:v>1.0089999999999999</x:v>
      </x:c>
      <x:c r="I29" t="s">
        <x:v>10</x:v>
      </x:c>
      <x:c r="J29" t="s">
        <x:v>11</x:v>
      </x:c>
    </x:row>
    <x:row r="30">
      <x:c r="A30">
        <x:v>4.5</x:v>
      </x:c>
      <x:c r="C30">
        <x:v>3.35</x:v>
      </x:c>
      <x:c r="D30">
        <x:v>6</x:v>
      </x:c>
      <x:c r="E30">
        <x:v>63</x:v>
      </x:c>
      <x:c r="F30">
        <x:v>17.399999999999999</x:v>
      </x:c>
      <x:c r="G30">
        <x:v>63.85</x:v>
      </x:c>
      <x:c r="H30">
        <x:v>1.0129999999999999</x:v>
      </x:c>
      <x:c r="I30" t="s">
        <x:v>10</x:v>
      </x:c>
      <x:c r="J30" t="s">
        <x:v>12</x:v>
      </x:c>
    </x:row>
    <x:row r="31">
      <x:c r="A31">
        <x:v>3</x:v>
      </x:c>
      <x:c r="C31">
        <x:v>6.21</x:v>
      </x:c>
      <x:c r="D31">
        <x:v>10</x:v>
      </x:c>
      <x:c r="E31">
        <x:v>100</x:v>
      </x:c>
      <x:c r="F31">
        <x:v>22.8</x:v>
      </x:c>
      <x:c r="G31">
        <x:v>101.89</x:v>
      </x:c>
      <x:c r="H31">
        <x:v>1.0189999999999999</x:v>
      </x:c>
      <x:c r="I31" t="s">
        <x:v>10</x:v>
      </x:c>
      <x:c r="J31" t="s">
        <x:v>11</x:v>
      </x:c>
    </x:row>
    <x:row r="32">
      <x:c r="A32">
        <x:v>2.8</x:v>
      </x:c>
      <x:c r="C32">
        <x:v>3.22</x:v>
      </x:c>
      <x:c r="D32">
        <x:v>4</x:v>
      </x:c>
      <x:c r="E32">
        <x:v>37</x:v>
      </x:c>
      <x:c r="F32">
        <x:v>11.3</x:v>
      </x:c>
      <x:c r="G32">
        <x:v>37.82</x:v>
      </x:c>
      <x:c r="H32">
        <x:v>1.022</x:v>
      </x:c>
      <x:c r="I32" t="s">
        <x:v>10</x:v>
      </x:c>
      <x:c r="J32" t="s">
        <x:v>11</x:v>
      </x:c>
    </x:row>
    <x:row r="33">
      <x:c r="A33">
        <x:v>1.6</x:v>
      </x:c>
      <x:c r="C33">
        <x:v>4.2</x:v>
      </x:c>
      <x:c r="D33">
        <x:v>3</x:v>
      </x:c>
      <x:c r="E33">
        <x:v>33</x:v>
      </x:c>
      <x:c r="F33">
        <x:v>8.1</x:v>
      </x:c>
      <x:c r="G33">
        <x:v>33.840000000000003</x:v>
      </x:c>
      <x:c r="H33">
        <x:v>1.0249999999999999</x:v>
      </x:c>
      <x:c r="I33" t="s">
        <x:v>10</x:v>
      </x:c>
      <x:c r="J33" t="s">
        <x:v>11</x:v>
      </x:c>
    </x:row>
    <x:row r="34">
      <x:c r="A34">
        <x:v>1.6</x:v>
      </x:c>
      <x:c r="C34">
        <x:v>7.63</x:v>
      </x:c>
      <x:c r="D34">
        <x:v>7</x:v>
      </x:c>
      <x:c r="E34">
        <x:v>72</x:v>
      </x:c>
      <x:c r="F34">
        <x:v>15.7</x:v>
      </x:c>
      <x:c r="G34">
        <x:v>74.010000000000005</x:v>
      </x:c>
      <x:c r="H34">
        <x:v>1.028</x:v>
      </x:c>
      <x:c r="I34" t="s">
        <x:v>10</x:v>
      </x:c>
      <x:c r="J34" t="s">
        <x:v>11</x:v>
      </x:c>
    </x:row>
    <x:row r="35">
      <x:c r="A35">
        <x:v>2.4</x:v>
      </x:c>
      <x:c r="C35">
        <x:v>5.67</x:v>
      </x:c>
      <x:c r="D35">
        <x:v>7</x:v>
      </x:c>
      <x:c r="E35">
        <x:v>74</x:v>
      </x:c>
      <x:c r="F35">
        <x:v>17</x:v>
      </x:c>
      <x:c r="G35">
        <x:v>77.27</x:v>
      </x:c>
      <x:c r="H35">
        <x:v>1.044</x:v>
      </x:c>
      <x:c r="I35" t="s">
        <x:v>10</x:v>
      </x:c>
      <x:c r="J35" t="s">
        <x:v>12</x:v>
      </x:c>
    </x:row>
    <x:row r="36">
      <x:c r="A36">
        <x:v>3.2</x:v>
      </x:c>
      <x:c r="C36">
        <x:v>5.27</x:v>
      </x:c>
      <x:c r="D36">
        <x:v>9</x:v>
      </x:c>
      <x:c r="E36">
        <x:v>85</x:v>
      </x:c>
      <x:c r="F36">
        <x:v>20.6</x:v>
      </x:c>
      <x:c r="G36">
        <x:v>89.14</x:v>
      </x:c>
      <x:c r="H36">
        <x:v>1.0489999999999999</x:v>
      </x:c>
      <x:c r="I36" t="s">
        <x:v>10</x:v>
      </x:c>
      <x:c r="J36" t="s">
        <x:v>11</x:v>
      </x:c>
    </x:row>
    <x:row r="37">
      <x:c r="A37">
        <x:v>1.6</x:v>
      </x:c>
      <x:c r="C37">
        <x:v>6.85</x:v>
      </x:c>
      <x:c r="D37">
        <x:v>6</x:v>
      </x:c>
      <x:c r="E37">
        <x:v>62</x:v>
      </x:c>
      <x:c r="F37">
        <x:v>13.6</x:v>
      </x:c>
      <x:c r="G37">
        <x:v>65.260000000000005</x:v>
      </x:c>
      <x:c r="H37">
        <x:v>1.0529999999999999</x:v>
      </x:c>
      <x:c r="I37" t="s">
        <x:v>10</x:v>
      </x:c>
      <x:c r="J37" t="s">
        <x:v>12</x:v>
      </x:c>
    </x:row>
    <x:row r="38">
      <x:c r="A38">
        <x:v>2.2999999999999998</x:v>
      </x:c>
      <x:c r="C38">
        <x:v>5.35</x:v>
      </x:c>
      <x:c r="D38">
        <x:v>8</x:v>
      </x:c>
      <x:c r="E38">
        <x:v>65</x:v>
      </x:c>
      <x:c r="F38">
        <x:v>18.5</x:v>
      </x:c>
      <x:c r="G38">
        <x:v>68.61</x:v>
      </x:c>
      <x:c r="H38">
        <x:v>1.056</x:v>
      </x:c>
      <x:c r="I38" t="s">
        <x:v>10</x:v>
      </x:c>
      <x:c r="J38" t="s">
        <x:v>11</x:v>
      </x:c>
    </x:row>
    <x:row r="39">
      <x:c r="A39">
        <x:v>2.2999999999999998</x:v>
      </x:c>
      <x:c r="C39">
        <x:v>8.2799999999999994</x:v>
      </x:c>
      <x:c r="D39">
        <x:v>12</x:v>
      </x:c>
      <x:c r="E39">
        <x:v>110</x:v>
      </x:c>
      <x:c r="F39">
        <x:v>25.5</x:v>
      </x:c>
      <x:c r="G39">
        <x:v>116.66</x:v>
      </x:c>
      <x:c r="H39">
        <x:v>1.0609999999999999</x:v>
      </x:c>
      <x:c r="I39" t="s">
        <x:v>10</x:v>
      </x:c>
      <x:c r="J39" t="s">
        <x:v>11</x:v>
      </x:c>
    </x:row>
    <x:row r="40">
      <x:c r="A40">
        <x:v>2.2999999999999998</x:v>
      </x:c>
      <x:c r="C40">
        <x:v>9.33</x:v>
      </x:c>
      <x:c r="D40">
        <x:v>14</x:v>
      </x:c>
      <x:c r="E40">
        <x:v>125</x:v>
      </x:c>
      <x:c r="F40">
        <x:v>27.4</x:v>
      </x:c>
      <x:c r="G40">
        <x:v>132.62</x:v>
      </x:c>
      <x:c r="H40">
        <x:v>1.0609999999999999</x:v>
      </x:c>
      <x:c r="I40" t="s">
        <x:v>10</x:v>
      </x:c>
      <x:c r="J40" t="s">
        <x:v>11</x:v>
      </x:c>
    </x:row>
    <x:row r="41">
      <x:c r="A41">
        <x:v>2.7</x:v>
      </x:c>
      <x:c r="C41">
        <x:v>3.71</x:v>
      </x:c>
      <x:c r="D41">
        <x:v>4.5</x:v>
      </x:c>
      <x:c r="E41">
        <x:v>44</x:v>
      </x:c>
      <x:c r="F41">
        <x:v>12.2</x:v>
      </x:c>
      <x:c r="G41">
        <x:v>46.75</x:v>
      </x:c>
      <x:c r="H41">
        <x:v>1.0620000000000001</x:v>
      </x:c>
      <x:c r="I41" t="s">
        <x:v>10</x:v>
      </x:c>
      <x:c r="J41" t="s">
        <x:v>11</x:v>
      </x:c>
    </x:row>
    <x:row r="42">
      <x:c r="A42">
        <x:v>1.8</x:v>
      </x:c>
      <x:c r="C42">
        <x:v>6.12</x:v>
      </x:c>
      <x:c r="D42">
        <x:v>7</x:v>
      </x:c>
      <x:c r="E42">
        <x:v>60</x:v>
      </x:c>
      <x:c r="F42">
        <x:v>14.3</x:v>
      </x:c>
      <x:c r="G42">
        <x:v>63.86</x:v>
      </x:c>
      <x:c r="H42">
        <x:v>1.0640000000000001</x:v>
      </x:c>
      <x:c r="I42" t="s">
        <x:v>10</x:v>
      </x:c>
      <x:c r="J42" t="s">
        <x:v>11</x:v>
      </x:c>
    </x:row>
    <x:row r="43">
      <x:c r="A43">
        <x:v>2.7</x:v>
      </x:c>
      <x:c r="C43">
        <x:v>3.88</x:v>
      </x:c>
      <x:c r="D43">
        <x:v>5</x:v>
      </x:c>
      <x:c r="E43">
        <x:v>47</x:v>
      </x:c>
      <x:c r="F43">
        <x:v>13</x:v>
      </x:c>
      <x:c r="G43">
        <x:v>50.39</x:v>
      </x:c>
      <x:c r="H43">
        <x:v>1.0720000000000001</x:v>
      </x:c>
      <x:c r="I43" t="s">
        <x:v>10</x:v>
      </x:c>
      <x:c r="J43" t="s">
        <x:v>11</x:v>
      </x:c>
    </x:row>
    <x:row r="44">
      <x:c r="A44">
        <x:v>2.2999999999999998</x:v>
      </x:c>
      <x:c r="C44">
        <x:v>8.77</x:v>
      </x:c>
      <x:c r="D44">
        <x:v>13</x:v>
      </x:c>
      <x:c r="E44">
        <x:v>115</x:v>
      </x:c>
      <x:c r="F44">
        <x:v>27.4</x:v>
      </x:c>
      <x:c r="G44">
        <x:v>124.11</x:v>
      </x:c>
      <x:c r="H44">
        <x:v>1.079</x:v>
      </x:c>
      <x:c r="I44" t="s">
        <x:v>13</x:v>
      </x:c>
      <x:c r="J44" t="s">
        <x:v>11</x:v>
      </x:c>
    </x:row>
    <x:row r="45">
      <x:c r="A45">
        <x:v>1.8</x:v>
      </x:c>
      <x:c r="C45">
        <x:v>5.79</x:v>
      </x:c>
      <x:c r="D45">
        <x:v>6</x:v>
      </x:c>
      <x:c r="E45">
        <x:v>55</x:v>
      </x:c>
      <x:c r="F45">
        <x:v>13.5</x:v>
      </x:c>
      <x:c r="G45">
        <x:v>59.49</x:v>
      </x:c>
      <x:c r="H45">
        <x:v>1.0820000000000001</x:v>
      </x:c>
      <x:c r="I45" t="s">
        <x:v>13</x:v>
      </x:c>
      <x:c r="J45" t="s">
        <x:v>11</x:v>
      </x:c>
    </x:row>
    <x:row r="46">
      <x:c r="A46">
        <x:v>1.6</x:v>
      </x:c>
      <x:c r="C46">
        <x:v>9.89</x:v>
      </x:c>
      <x:c r="D46">
        <x:v>10</x:v>
      </x:c>
      <x:c r="E46">
        <x:v>90</x:v>
      </x:c>
      <x:c r="F46">
        <x:v>20.3</x:v>
      </x:c>
      <x:c r="G46">
        <x:v>98.04</x:v>
      </x:c>
      <x:c r="H46">
        <x:v>1.089</x:v>
      </x:c>
      <x:c r="I46" t="s">
        <x:v>13</x:v>
      </x:c>
      <x:c r="J46" t="s">
        <x:v>11</x:v>
      </x:c>
    </x:row>
    <x:row r="47">
      <x:c r="A47">
        <x:v>1.6</x:v>
      </x:c>
      <x:c r="C47">
        <x:v>7.86</x:v>
      </x:c>
      <x:c r="D47">
        <x:v>7</x:v>
      </x:c>
      <x:c r="E47">
        <x:v>70</x:v>
      </x:c>
      <x:c r="F47">
        <x:v>16.399999999999999</x:v>
      </x:c>
      <x:c r="G47">
        <x:v>76.52</x:v>
      </x:c>
      <x:c r="H47">
        <x:v>1.093</x:v>
      </x:c>
      <x:c r="I47" t="s">
        <x:v>13</x:v>
      </x:c>
      <x:c r="J47" t="s">
        <x:v>12</x:v>
      </x:c>
    </x:row>
    <x:row r="48">
      <x:c r="A48">
        <x:v>2.6</x:v>
      </x:c>
      <x:c r="C48">
        <x:v>4.3600000000000003</x:v>
      </x:c>
      <x:c r="D48">
        <x:v>5.5</x:v>
      </x:c>
      <x:c r="E48">
        <x:v>53</x:v>
      </x:c>
      <x:c r="F48">
        <x:v>13.9</x:v>
      </x:c>
      <x:c r="G48">
        <x:v>58.08</x:v>
      </x:c>
      <x:c r="H48">
        <x:v>1.0960000000000001</x:v>
      </x:c>
      <x:c r="I48" t="s">
        <x:v>13</x:v>
      </x:c>
      <x:c r="J48" t="s">
        <x:v>11</x:v>
      </x:c>
    </x:row>
    <x:row r="49">
      <x:c r="A49">
        <x:v>1.6</x:v>
      </x:c>
      <x:c r="C49">
        <x:v>9.3800000000000008</x:v>
      </x:c>
      <x:c r="D49">
        <x:v>9</x:v>
      </x:c>
      <x:c r="E49">
        <x:v>84</x:v>
      </x:c>
      <x:c r="F49">
        <x:v>19</x:v>
      </x:c>
      <x:c r="G49">
        <x:v>92.76</x:v>
      </x:c>
      <x:c r="H49">
        <x:v>1.1040000000000001</x:v>
      </x:c>
      <x:c r="I49" t="s">
        <x:v>13</x:v>
      </x:c>
      <x:c r="J49" t="s">
        <x:v>11</x:v>
      </x:c>
    </x:row>
    <x:row r="50">
      <x:c r="A50">
        <x:v>1.6</x:v>
      </x:c>
      <x:c r="C50">
        <x:v>5.8</x:v>
      </x:c>
      <x:c r="D50">
        <x:v>4.5</x:v>
      </x:c>
      <x:c r="E50">
        <x:v>48</x:v>
      </x:c>
      <x:c r="F50">
        <x:v>10.7</x:v>
      </x:c>
      <x:c r="G50">
        <x:v>53.06</x:v>
      </x:c>
      <x:c r="H50">
        <x:v>1.105</x:v>
      </x:c>
      <x:c r="I50" t="s">
        <x:v>13</x:v>
      </x:c>
      <x:c r="J50" t="s">
        <x:v>11</x:v>
      </x:c>
    </x:row>
    <x:row r="51">
      <x:c r="A51">
        <x:v>1.6</x:v>
      </x:c>
      <x:c r="C51">
        <x:v>8.59</x:v>
      </x:c>
      <x:c r="D51">
        <x:v>8</x:v>
      </x:c>
      <x:c r="E51">
        <x:v>76</x:v>
      </x:c>
      <x:c r="F51">
        <x:v>17.399999999999999</x:v>
      </x:c>
      <x:c r="G51">
        <x:v>84.45</x:v>
      </x:c>
      <x:c r="H51">
        <x:v>1.111</x:v>
      </x:c>
      <x:c r="I51" t="s">
        <x:v>13</x:v>
      </x:c>
      <x:c r="J51" t="s">
        <x:v>11</x:v>
      </x:c>
    </x:row>
    <x:row r="52">
      <x:c r="A52">
        <x:v>2.5</x:v>
      </x:c>
      <x:c r="C52">
        <x:v>5.8</x:v>
      </x:c>
      <x:c r="D52">
        <x:v>8</x:v>
      </x:c>
      <x:c r="E52">
        <x:v>74</x:v>
      </x:c>
      <x:c r="F52">
        <x:v>18.7</x:v>
      </x:c>
      <x:c r="G52">
        <x:v>82.94</x:v>
      </x:c>
      <x:c r="H52">
        <x:v>1.121</x:v>
      </x:c>
      <x:c r="I52" t="s">
        <x:v>13</x:v>
      </x:c>
      <x:c r="J52" t="s">
        <x:v>12</x:v>
      </x:c>
    </x:row>
    <x:row r="53">
      <x:c r="A53">
        <x:v>3.4</x:v>
      </x:c>
      <x:c r="C53">
        <x:v>4.3899999999999997</x:v>
      </x:c>
      <x:c r="D53">
        <x:v>7</x:v>
      </x:c>
      <x:c r="E53">
        <x:v>65</x:v>
      </x:c>
      <x:c r="F53">
        <x:v>17.600000000000001</x:v>
      </x:c>
      <x:c r="G53">
        <x:v>73.989999999999995</x:v>
      </x:c>
      <x:c r="H53">
        <x:v>1.1379999999999999</x:v>
      </x:c>
      <x:c r="I53" t="s">
        <x:v>13</x:v>
      </x:c>
      <x:c r="J53" t="s">
        <x:v>11</x:v>
      </x:c>
    </x:row>
    <x:row r="54">
      <x:c r="A54">
        <x:v>2.8</x:v>
      </x:c>
      <x:c r="C54">
        <x:v>2.85</x:v>
      </x:c>
      <x:c r="D54">
        <x:v>3</x:v>
      </x:c>
      <x:c r="E54">
        <x:v>26</x:v>
      </x:c>
      <x:c r="F54">
        <x:v>9.5</x:v>
      </x:c>
      <x:c r="G54">
        <x:v>29.77</x:v>
      </x:c>
      <x:c r="H54">
        <x:v>1.145</x:v>
      </x:c>
      <x:c r="I54" t="s">
        <x:v>13</x:v>
      </x:c>
      <x:c r="J54" t="s">
        <x:v>11</x:v>
      </x:c>
    </x:row>
    <x:row r="55">
      <x:c r="A55">
        <x:v>1.6</x:v>
      </x:c>
      <x:c r="C55">
        <x:v>5.0999999999999996</x:v>
      </x:c>
      <x:c r="D55">
        <x:v>4</x:v>
      </x:c>
      <x:c r="E55">
        <x:v>39</x:v>
      </x:c>
      <x:c r="F55">
        <x:v>10.199999999999999</x:v>
      </x:c>
      <x:c r="G55">
        <x:v>44.69</x:v>
      </x:c>
      <x:c r="H55">
        <x:v>1.1459999999999999</x:v>
      </x:c>
      <x:c r="I55" t="s">
        <x:v>13</x:v>
      </x:c>
      <x:c r="J55" t="s">
        <x:v>11</x:v>
      </x:c>
    </x:row>
    <x:row r="56">
      <x:c r="A56">
        <x:v>3</x:v>
      </x:c>
      <x:c r="C56">
        <x:v>6.4</x:v>
      </x:c>
      <x:c r="D56">
        <x:v>10</x:v>
      </x:c>
      <x:c r="E56">
        <x:v>92</x:v>
      </x:c>
      <x:c r="F56">
        <x:v>23</x:v>
      </x:c>
      <x:c r="G56">
        <x:v>105.49</x:v>
      </x:c>
      <x:c r="H56">
        <x:v>1.147</x:v>
      </x:c>
      <x:c r="I56" t="s">
        <x:v>13</x:v>
      </x:c>
      <x:c r="J56" t="s">
        <x:v>11</x:v>
      </x:c>
    </x:row>
    <x:row r="57">
      <x:c r="A57">
        <x:v>2.2999999999999998</x:v>
      </x:c>
      <x:c r="C57">
        <x:v>7.44</x:v>
      </x:c>
      <x:c r="D57">
        <x:v>10</x:v>
      </x:c>
      <x:c r="E57">
        <x:v>90</x:v>
      </x:c>
      <x:c r="F57">
        <x:v>22.4</x:v>
      </x:c>
      <x:c r="G57">
        <x:v>103.27</x:v>
      </x:c>
      <x:c r="H57">
        <x:v>1.147</x:v>
      </x:c>
      <x:c r="I57" t="s">
        <x:v>13</x:v>
      </x:c>
      <x:c r="J57" t="s">
        <x:v>12</x:v>
      </x:c>
    </x:row>
    <x:row r="58">
      <x:c r="A58">
        <x:v>3.4</x:v>
      </x:c>
      <x:c r="C58">
        <x:v>4.7699999999999996</x:v>
      </x:c>
      <x:c r="D58">
        <x:v>8</x:v>
      </x:c>
      <x:c r="E58">
        <x:v>72</x:v>
      </x:c>
      <x:c r="F58">
        <x:v>19</x:v>
      </x:c>
      <x:c r="G58">
        <x:v>82.96</x:v>
      </x:c>
      <x:c r="H58">
        <x:v>1.1519999999999999</x:v>
      </x:c>
      <x:c r="I58" t="s">
        <x:v>13</x:v>
      </x:c>
      <x:c r="J58" t="s">
        <x:v>11</x:v>
      </x:c>
    </x:row>
    <x:row r="59">
      <x:c r="A59">
        <x:v>2.2999999999999998</x:v>
      </x:c>
      <x:c r="C59">
        <x:v>8.57</x:v>
      </x:c>
      <x:c r="D59">
        <x:v>12</x:v>
      </x:c>
      <x:c r="E59">
        <x:v>105</x:v>
      </x:c>
      <x:c r="F59">
        <x:v>25.8</x:v>
      </x:c>
      <x:c r="G59">
        <x:v>121.11</x:v>
      </x:c>
      <x:c r="H59">
        <x:v>1.153</x:v>
      </x:c>
      <x:c r="I59" t="s">
        <x:v>13</x:v>
      </x:c>
      <x:c r="J59" t="s">
        <x:v>11</x:v>
      </x:c>
    </x:row>
    <x:row r="60">
      <x:c r="A60">
        <x:v>2.2999999999999998</x:v>
      </x:c>
      <x:c r="C60">
        <x:v>8.9600000000000009</x:v>
      </x:c>
      <x:c r="D60">
        <x:v>13</x:v>
      </x:c>
      <x:c r="E60">
        <x:v>110</x:v>
      </x:c>
      <x:c r="F60">
        <x:v>27.7</x:v>
      </x:c>
      <x:c r="G60">
        <x:v>127.03</x:v>
      </x:c>
      <x:c r="H60">
        <x:v>1.155</x:v>
      </x:c>
      <x:c r="I60" t="s">
        <x:v>13</x:v>
      </x:c>
      <x:c r="J60" t="s">
        <x:v>11</x:v>
      </x:c>
    </x:row>
    <x:row r="61">
      <x:c r="A61">
        <x:v>2.5</x:v>
      </x:c>
      <x:c r="C61">
        <x:v>4.72</x:v>
      </x:c>
      <x:c r="D61">
        <x:v>6</x:v>
      </x:c>
      <x:c r="E61">
        <x:v>54</x:v>
      </x:c>
      <x:c r="F61">
        <x:v>14.9</x:v>
      </x:c>
      <x:c r="G61">
        <x:v>62.75</x:v>
      </x:c>
      <x:c r="H61">
        <x:v>1.1619999999999999</x:v>
      </x:c>
      <x:c r="I61" t="s">
        <x:v>13</x:v>
      </x:c>
      <x:c r="J61" t="s">
        <x:v>12</x:v>
      </x:c>
    </x:row>
    <x:row r="62">
      <x:c r="A62">
        <x:v>2.5</x:v>
      </x:c>
      <x:c r="C62">
        <x:v>5.28</x:v>
      </x:c>
      <x:c r="D62">
        <x:v>7</x:v>
      </x:c>
      <x:c r="E62">
        <x:v>63</x:v>
      </x:c>
      <x:c r="F62">
        <x:v>16.600000000000001</x:v>
      </x:c>
      <x:c r="G62">
        <x:v>73.25</x:v>
      </x:c>
      <x:c r="H62">
        <x:v>1.163</x:v>
      </x:c>
      <x:c r="I62" t="s">
        <x:v>13</x:v>
      </x:c>
      <x:c r="J62" t="s">
        <x:v>11</x:v>
      </x:c>
    </x:row>
    <x:row r="63">
      <x:c r="A63" s="30" t="n">
        <x:v>1.6</x:v>
      </x:c>
      <x:c r="C63">
        <x:v>7.16</x:v>
      </x:c>
      <x:c r="D63">
        <x:v>6</x:v>
      </x:c>
      <x:c r="E63">
        <x:v>59</x:v>
      </x:c>
      <x:c r="F63">
        <x:v>13.8</x:v>
      </x:c>
      <x:c r="G63">
        <x:v>68.67</x:v>
      </x:c>
      <x:c r="H63">
        <x:v>1.1639999999999999</x:v>
      </x:c>
      <x:c r="I63" t="s">
        <x:v>13</x:v>
      </x:c>
      <x:c r="J63" t="s">
        <x:v>11</x:v>
      </x:c>
    </x:row>
    <x:row r="64">
      <x:c r="A64">
        <x:v>2.4</x:v>
      </x:c>
      <x:c r="C64">
        <x:v>5.27</x:v>
      </x:c>
      <x:c r="D64">
        <x:v>6</x:v>
      </x:c>
      <x:c r="E64">
        <x:v>60</x:v>
      </x:c>
      <x:c r="F64">
        <x:v>15.5</x:v>
      </x:c>
      <x:c r="G64">
        <x:v>70.06</x:v>
      </x:c>
      <x:c r="H64">
        <x:v>1.1679999999999999</x:v>
      </x:c>
      <x:c r="I64" t="s">
        <x:v>13</x:v>
      </x:c>
      <x:c r="J64" t="s">
        <x:v>12</x:v>
      </x:c>
    </x:row>
    <x:row r="65">
      <x:c r="A65">
        <x:v>2.4</x:v>
      </x:c>
      <x:c r="C65">
        <x:v>7.63</x:v>
      </x:c>
      <x:c r="D65">
        <x:v>10</x:v>
      </x:c>
      <x:c r="E65">
        <x:v>95</x:v>
      </x:c>
      <x:c r="F65">
        <x:v>23.4</x:v>
      </x:c>
      <x:c r="G65">
        <x:v>111.03</x:v>
      </x:c>
      <x:c r="H65">
        <x:v>1.169</x:v>
      </x:c>
      <x:c r="I65" t="s">
        <x:v>13</x:v>
      </x:c>
      <x:c r="J65" t="s">
        <x:v>11</x:v>
      </x:c>
    </x:row>
    <x:row r="66">
      <x:c r="A66">
        <x:v>3.4</x:v>
      </x:c>
      <x:c r="C66">
        <x:v>3.53</x:v>
      </x:c>
      <x:c r="D66">
        <x:v>5</x:v>
      </x:c>
      <x:c r="E66">
        <x:v>45</x:v>
      </x:c>
      <x:c r="F66">
        <x:v>14.5</x:v>
      </x:c>
      <x:c r="G66">
        <x:v>52.63</x:v>
      </x:c>
      <x:c r="H66">
        <x:v>1.17</x:v>
      </x:c>
      <x:c r="I66" t="s">
        <x:v>13</x:v>
      </x:c>
      <x:c r="J66" t="s">
        <x:v>11</x:v>
      </x:c>
    </x:row>
    <x:row r="67">
      <x:c r="A67">
        <x:v>2.2999999999999998</x:v>
      </x:c>
      <x:c r="C67">
        <x:v>9.09</x:v>
      </x:c>
      <x:c r="D67">
        <x:v>13</x:v>
      </x:c>
      <x:c r="E67">
        <x:v>110</x:v>
      </x:c>
      <x:c r="F67">
        <x:v>28</x:v>
      </x:c>
      <x:c r="G67">
        <x:v>129.06</x:v>
      </x:c>
      <x:c r="H67">
        <x:v>1.173</x:v>
      </x:c>
      <x:c r="I67" t="s">
        <x:v>13</x:v>
      </x:c>
      <x:c r="J67" t="s">
        <x:v>11</x:v>
      </x:c>
    </x:row>
    <x:row r="68">
      <x:c r="A68">
        <x:v>2.2999999999999998</x:v>
      </x:c>
      <x:c r="C68">
        <x:v>7.89</x:v>
      </x:c>
      <x:c r="D68">
        <x:v>11</x:v>
      </x:c>
      <x:c r="E68">
        <x:v>94</x:v>
      </x:c>
      <x:c r="F68">
        <x:v>24.3</x:v>
      </x:c>
      <x:c r="G68">
        <x:v>110.56</x:v>
      </x:c>
      <x:c r="H68">
        <x:v>1.1759999999999999</x:v>
      </x:c>
      <x:c r="I68" t="s">
        <x:v>13</x:v>
      </x:c>
      <x:c r="J68" t="s">
        <x:v>12</x:v>
      </x:c>
    </x:row>
    <x:row r="69">
      <x:c r="A69">
        <x:v>2.4</x:v>
      </x:c>
      <x:c r="C69">
        <x:v>6.98</x:v>
      </x:c>
      <x:c r="D69">
        <x:v>9</x:v>
      </x:c>
      <x:c r="E69">
        <x:v>85</x:v>
      </x:c>
      <x:c r="F69">
        <x:v>21</x:v>
      </x:c>
      <x:c r="G69">
        <x:v>99.99</x:v>
      </x:c>
      <x:c r="H69">
        <x:v>1.1759999999999999</x:v>
      </x:c>
      <x:c r="I69" t="s">
        <x:v>13</x:v>
      </x:c>
      <x:c r="J69" t="s">
        <x:v>12</x:v>
      </x:c>
    </x:row>
    <x:row r="70">
      <x:c r="A70">
        <x:v>4.5</x:v>
      </x:c>
      <x:c r="C70">
        <x:v>3.47</x:v>
      </x:c>
      <x:c r="D70">
        <x:v>6</x:v>
      </x:c>
      <x:c r="E70">
        <x:v>57</x:v>
      </x:c>
      <x:c r="F70">
        <x:v>17.2</x:v>
      </x:c>
      <x:c r="G70">
        <x:v>67.680000000000007</x:v>
      </x:c>
      <x:c r="H70">
        <x:v>1.1870000000000001</x:v>
      </x:c>
      <x:c r="I70" t="s">
        <x:v>13</x:v>
      </x:c>
      <x:c r="J70" t="s">
        <x:v>11</x:v>
      </x:c>
    </x:row>
    <x:row r="71">
      <x:c r="A71">
        <x:v>2.4</x:v>
      </x:c>
      <x:c r="C71">
        <x:v>4.72</x:v>
      </x:c>
      <x:c r="D71">
        <x:v>5</x:v>
      </x:c>
      <x:c r="E71">
        <x:v>50</x:v>
      </x:c>
      <x:c r="F71">
        <x:v>13.9</x:v>
      </x:c>
      <x:c r="G71">
        <x:v>60.18</x:v>
      </x:c>
      <x:c r="H71">
        <x:v>1.204</x:v>
      </x:c>
      <x:c r="I71" t="s">
        <x:v>13</x:v>
      </x:c>
      <x:c r="J71" t="s">
        <x:v>12</x:v>
      </x:c>
    </x:row>
    <x:row r="72">
      <x:c r="A72">
        <x:v>2.5</x:v>
      </x:c>
      <x:c r="C72">
        <x:v>6.09</x:v>
      </x:c>
      <x:c r="D72">
        <x:v>8</x:v>
      </x:c>
      <x:c r="E72">
        <x:v>73</x:v>
      </x:c>
      <x:c r="F72">
        <x:v>19.2</x:v>
      </x:c>
      <x:c r="G72">
        <x:v>88.14</x:v>
      </x:c>
      <x:c r="H72">
        <x:v>1.2070000000000001</x:v>
      </x:c>
      <x:c r="I72" t="s">
        <x:v>13</x:v>
      </x:c>
      <x:c r="J72" t="s">
        <x:v>11</x:v>
      </x:c>
    </x:row>
    <x:row r="73">
      <x:c r="A73">
        <x:v>3.2</x:v>
      </x:c>
      <x:c r="C73">
        <x:v>5.52</x:v>
      </x:c>
      <x:c r="D73">
        <x:v>9</x:v>
      </x:c>
      <x:c r="E73">
        <x:v>78</x:v>
      </x:c>
      <x:c r="F73">
        <x:v>20.399999999999999</x:v>
      </x:c>
      <x:c r="G73">
        <x:v>94.49</x:v>
      </x:c>
      <x:c r="H73">
        <x:v>1.2110000000000001</x:v>
      </x:c>
      <x:c r="I73" t="s">
        <x:v>13</x:v>
      </x:c>
      <x:c r="J73" t="s">
        <x:v>11</x:v>
      </x:c>
    </x:row>
    <x:row r="74">
      <x:c r="A74">
        <x:v>2.2999999999999998</x:v>
      </x:c>
      <x:c r="C74">
        <x:v>8.93</x:v>
      </x:c>
      <x:c r="D74">
        <x:v>12</x:v>
      </x:c>
      <x:c r="E74">
        <x:v>104</x:v>
      </x:c>
      <x:c r="F74">
        <x:v>27.5</x:v>
      </x:c>
      <x:c r="G74">
        <x:v>126.62</x:v>
      </x:c>
      <x:c r="H74">
        <x:v>1.218</x:v>
      </x:c>
      <x:c r="I74" t="s">
        <x:v>13</x:v>
      </x:c>
      <x:c r="J74" t="s">
        <x:v>11</x:v>
      </x:c>
    </x:row>
    <x:row r="75">
      <x:c r="A75">
        <x:v>2.4</x:v>
      </x:c>
      <x:c r="C75">
        <x:v>6.84</x:v>
      </x:c>
      <x:c r="D75">
        <x:v>9</x:v>
      </x:c>
      <x:c r="E75">
        <x:v>80</x:v>
      </x:c>
      <x:c r="F75">
        <x:v>21</x:v>
      </x:c>
      <x:c r="G75">
        <x:v>97.62</x:v>
      </x:c>
      <x:c r="H75">
        <x:v>1.22</x:v>
      </x:c>
      <x:c r="I75" t="s">
        <x:v>13</x:v>
      </x:c>
      <x:c r="J75" t="s">
        <x:v>11</x:v>
      </x:c>
    </x:row>
    <x:row r="76">
      <x:c r="A76">
        <x:v>1.6</x:v>
      </x:c>
      <x:c r="C76">
        <x:v>5.17</x:v>
      </x:c>
      <x:c r="D76">
        <x:v>4</x:v>
      </x:c>
      <x:c r="E76">
        <x:v>37</x:v>
      </x:c>
      <x:c r="F76">
        <x:v>10.3</x:v>
      </x:c>
      <x:c r="G76">
        <x:v>45.51</x:v>
      </x:c>
      <x:c r="H76">
        <x:v>1.23</x:v>
      </x:c>
      <x:c r="I76" t="s">
        <x:v>14</x:v>
      </x:c>
      <x:c r="J76" t="s">
        <x:v>11</x:v>
      </x:c>
    </x:row>
    <x:row r="77">
      <x:c r="A77">
        <x:v>2.2999999999999998</x:v>
      </x:c>
      <x:c r="C77">
        <x:v>9.1199999999999992</x:v>
      </x:c>
      <x:c r="D77">
        <x:v>12</x:v>
      </x:c>
      <x:c r="E77">
        <x:v>105</x:v>
      </x:c>
      <x:c r="F77">
        <x:v>28.4</x:v>
      </x:c>
      <x:c r="G77">
        <x:v>129.47</x:v>
      </x:c>
      <x:c r="H77">
        <x:v>1.2330000000000001</x:v>
      </x:c>
      <x:c r="I77" t="s">
        <x:v>14</x:v>
      </x:c>
      <x:c r="J77" t="s">
        <x:v>12</x:v>
      </x:c>
    </x:row>
    <x:row r="78">
      <x:c r="A78">
        <x:v>3.4</x:v>
      </x:c>
      <x:c r="C78">
        <x:v>4.92</x:v>
      </x:c>
      <x:c r="D78">
        <x:v>8</x:v>
      </x:c>
      <x:c r="E78">
        <x:v>70</x:v>
      </x:c>
      <x:c r="F78">
        <x:v>19.8</x:v>
      </x:c>
      <x:c r="G78">
        <x:v>86.6</x:v>
      </x:c>
      <x:c r="H78">
        <x:v>1.2370000000000001</x:v>
      </x:c>
      <x:c r="I78" t="s">
        <x:v>14</x:v>
      </x:c>
      <x:c r="J78" t="s">
        <x:v>11</x:v>
      </x:c>
    </x:row>
    <x:row r="79">
      <x:c r="A79">
        <x:v>2.5</x:v>
      </x:c>
      <x:c r="C79">
        <x:v>5.49</x:v>
      </x:c>
      <x:c r="D79">
        <x:v>7</x:v>
      </x:c>
      <x:c r="E79">
        <x:v>62</x:v>
      </x:c>
      <x:c r="F79">
        <x:v>17.2</x:v>
      </x:c>
      <x:c r="G79">
        <x:v>77.13</x:v>
      </x:c>
      <x:c r="H79">
        <x:v>1.244</x:v>
      </x:c>
      <x:c r="I79" t="s">
        <x:v>14</x:v>
      </x:c>
      <x:c r="J79" t="s">
        <x:v>12</x:v>
      </x:c>
    </x:row>
    <x:row r="80">
      <x:c r="A80">
        <x:v>1.6</x:v>
      </x:c>
      <x:c r="C80">
        <x:v>6.38</x:v>
      </x:c>
      <x:c r="D80">
        <x:v>5</x:v>
      </x:c>
      <x:c r="E80">
        <x:v>48</x:v>
      </x:c>
      <x:c r="F80">
        <x:v>12.7</x:v>
      </x:c>
      <x:c r="G80">
        <x:v>59.77</x:v>
      </x:c>
      <x:c r="H80">
        <x:v>1.2450000000000001</x:v>
      </x:c>
      <x:c r="I80" t="s">
        <x:v>14</x:v>
      </x:c>
      <x:c r="J80" t="s">
        <x:v>11</x:v>
      </x:c>
    </x:row>
    <x:row r="81">
      <x:c r="A81">
        <x:v>1.6</x:v>
      </x:c>
      <x:c r="C81">
        <x:v>6.06</x:v>
      </x:c>
      <x:c r="D81">
        <x:v>4.5</x:v>
      </x:c>
      <x:c r="E81">
        <x:v>45</x:v>
      </x:c>
      <x:c r="F81">
        <x:v>10.9</x:v>
      </x:c>
      <x:c r="G81">
        <x:v>56.1</x:v>
      </x:c>
      <x:c r="H81">
        <x:v>1.2470000000000001</x:v>
      </x:c>
      <x:c r="I81" t="s">
        <x:v>14</x:v>
      </x:c>
      <x:c r="J81" t="s">
        <x:v>11</x:v>
      </x:c>
    </x:row>
    <x:row r="82">
      <x:c r="A82">
        <x:v>2.7</x:v>
      </x:c>
      <x:c r="C82">
        <x:v>3.86</x:v>
      </x:c>
      <x:c r="D82">
        <x:v>4.5</x:v>
      </x:c>
      <x:c r="E82">
        <x:v>40</x:v>
      </x:c>
      <x:c r="F82">
        <x:v>12.9</x:v>
      </x:c>
      <x:c r="G82">
        <x:v>49.99</x:v>
      </x:c>
      <x:c r="H82">
        <x:v>1.25</x:v>
      </x:c>
      <x:c r="I82" t="s">
        <x:v>14</x:v>
      </x:c>
      <x:c r="J82" t="s">
        <x:v>11</x:v>
      </x:c>
    </x:row>
    <x:row r="83">
      <x:c r="A83">
        <x:v>2.4</x:v>
      </x:c>
      <x:c r="C83">
        <x:v>5.98</x:v>
      </x:c>
      <x:c r="D83">
        <x:v>7</x:v>
      </x:c>
      <x:c r="E83">
        <x:v>65</x:v>
      </x:c>
      <x:c r="F83">
        <x:v>17.7</x:v>
      </x:c>
      <x:c r="G83">
        <x:v>82.72</x:v>
      </x:c>
      <x:c r="H83">
        <x:v>1.2729999999999999</x:v>
      </x:c>
      <x:c r="I83" t="s">
        <x:v>14</x:v>
      </x:c>
      <x:c r="J83" t="s">
        <x:v>11</x:v>
      </x:c>
    </x:row>
    <x:row r="84">
      <x:c r="A84">
        <x:v>1.6</x:v>
      </x:c>
      <x:c r="C84">
        <x:v>9.64</x:v>
      </x:c>
      <x:c r="D84">
        <x:v>9</x:v>
      </x:c>
      <x:c r="E84">
        <x:v>75</x:v>
      </x:c>
      <x:c r="F84">
        <x:v>19.399999999999999</x:v>
      </x:c>
      <x:c r="G84">
        <x:v>95.45</x:v>
      </x:c>
      <x:c r="H84">
        <x:v>1.2729999999999999</x:v>
      </x:c>
      <x:c r="I84" t="s">
        <x:v>14</x:v>
      </x:c>
      <x:c r="J84" t="s">
        <x:v>11</x:v>
      </x:c>
    </x:row>
    <x:row r="85">
      <x:c r="A85">
        <x:v>2.4</x:v>
      </x:c>
      <x:c r="C85">
        <x:v>5.52</x:v>
      </x:c>
      <x:c r="D85">
        <x:v>6</x:v>
      </x:c>
      <x:c r="E85">
        <x:v>58</x:v>
      </x:c>
      <x:c r="F85">
        <x:v>16.399999999999999</x:v>
      </x:c>
      <x:c r="G85">
        <x:v>74.59</x:v>
      </x:c>
      <x:c r="H85">
        <x:v>1.286</x:v>
      </x:c>
      <x:c r="I85" t="s">
        <x:v>14</x:v>
      </x:c>
      <x:c r="J85" t="s">
        <x:v>12</x:v>
      </x:c>
    </x:row>
    <x:row r="86">
      <x:c r="A86">
        <x:v>2.5</x:v>
      </x:c>
      <x:c r="C86">
        <x:v>3.93</x:v>
      </x:c>
      <x:c r="D86">
        <x:v>4</x:v>
      </x:c>
      <x:c r="E86">
        <x:v>37</x:v>
      </x:c>
      <x:c r="F86">
        <x:v>11.7</x:v>
      </x:c>
      <x:c r="G86">
        <x:v>47.62</x:v>
      </x:c>
      <x:c r="H86">
        <x:v>1.2869999999999999</x:v>
      </x:c>
      <x:c r="I86" t="s">
        <x:v>14</x:v>
      </x:c>
      <x:c r="J86" t="s">
        <x:v>11</x:v>
      </x:c>
    </x:row>
    <x:row r="87">
      <x:c r="A87">
        <x:v>2.7</x:v>
      </x:c>
      <x:c r="C87">
        <x:v>4.1900000000000004</x:v>
      </x:c>
      <x:c r="D87">
        <x:v>5</x:v>
      </x:c>
      <x:c r="E87">
        <x:v>44</x:v>
      </x:c>
      <x:c r="F87">
        <x:v>13.7</x:v>
      </x:c>
      <x:c r="G87">
        <x:v>56.83</x:v>
      </x:c>
      <x:c r="H87">
        <x:v>1.292</x:v>
      </x:c>
      <x:c r="I87" t="s">
        <x:v>14</x:v>
      </x:c>
      <x:c r="J87" t="s">
        <x:v>12</x:v>
      </x:c>
    </x:row>
    <x:row r="88">
      <x:c r="A88">
        <x:v>3.4</x:v>
      </x:c>
      <x:c r="C88">
        <x:v>4.2699999999999996</x:v>
      </x:c>
      <x:c r="D88">
        <x:v>6</x:v>
      </x:c>
      <x:c r="E88">
        <x:v>55</x:v>
      </x:c>
      <x:c r="F88">
        <x:v>16.7</x:v>
      </x:c>
      <x:c r="G88">
        <x:v>71.06</x:v>
      </x:c>
      <x:c r="H88">
        <x:v>1.292</x:v>
      </x:c>
      <x:c r="I88" t="s">
        <x:v>14</x:v>
      </x:c>
      <x:c r="J88" t="s">
        <x:v>11</x:v>
      </x:c>
    </x:row>
    <x:row r="89">
      <x:c r="A89">
        <x:v>2.2999999999999998</x:v>
      </x:c>
      <x:c r="C89">
        <x:v>7.79</x:v>
      </x:c>
      <x:c r="D89">
        <x:v>10</x:v>
      </x:c>
      <x:c r="E89">
        <x:v>84</x:v>
      </x:c>
      <x:c r="F89">
        <x:v>23</x:v>
      </x:c>
      <x:c r="G89">
        <x:v>108.85</x:v>
      </x:c>
      <x:c r="H89">
        <x:v>1.296</x:v>
      </x:c>
      <x:c r="I89" t="s">
        <x:v>14</x:v>
      </x:c>
      <x:c r="J89" t="s">
        <x:v>12</x:v>
      </x:c>
    </x:row>
    <x:row r="90">
      <x:c r="A90">
        <x:v>2.6</x:v>
      </x:c>
      <x:c r="C90">
        <x:v>4.71</x:v>
      </x:c>
      <x:c r="D90">
        <x:v>5.5</x:v>
      </x:c>
      <x:c r="E90">
        <x:v>50</x:v>
      </x:c>
      <x:c r="F90">
        <x:v>14.4</x:v>
      </x:c>
      <x:c r="G90">
        <x:v>64.930000000000007</x:v>
      </x:c>
      <x:c r="H90">
        <x:v>1.2989999999999999</x:v>
      </x:c>
      <x:c r="I90" t="s">
        <x:v>14</x:v>
      </x:c>
      <x:c r="J90" t="s">
        <x:v>12</x:v>
      </x:c>
    </x:row>
    <x:row r="91">
      <x:c r="A91">
        <x:v>2.5</x:v>
      </x:c>
      <x:c r="C91">
        <x:v>5.07</x:v>
      </x:c>
      <x:c r="D91">
        <x:v>6</x:v>
      </x:c>
      <x:c r="E91">
        <x:v>53</x:v>
      </x:c>
      <x:c r="F91">
        <x:v>15.3</x:v>
      </x:c>
      <x:c r="G91">
        <x:v>69.209999999999994</x:v>
      </x:c>
      <x:c r="H91">
        <x:v>1.306</x:v>
      </x:c>
      <x:c r="I91" t="s">
        <x:v>14</x:v>
      </x:c>
      <x:c r="J91" t="s">
        <x:v>12</x:v>
      </x:c>
    </x:row>
    <x:row r="92">
      <x:c r="A92">
        <x:v>1.6</x:v>
      </x:c>
      <x:c r="C92">
        <x:v>4.04</x:v>
      </x:c>
      <x:c r="D92">
        <x:v>2.5</x:v>
      </x:c>
      <x:c r="E92">
        <x:v>24</x:v>
      </x:c>
      <x:c r="F92">
        <x:v>6.5</x:v>
      </x:c>
      <x:c r="G92">
        <x:v>31.78</x:v>
      </x:c>
      <x:c r="H92">
        <x:v>1.3240000000000001</x:v>
      </x:c>
      <x:c r="I92" t="s">
        <x:v>14</x:v>
      </x:c>
      <x:c r="J92" t="s">
        <x:v>11</x:v>
      </x:c>
    </x:row>
    <x:row r="93">
      <x:c r="A93">
        <x:v>4.5</x:v>
      </x:c>
      <x:c r="C93">
        <x:v>3.23</x:v>
      </x:c>
      <x:c r="D93">
        <x:v>5</x:v>
      </x:c>
      <x:c r="E93">
        <x:v>45</x:v>
      </x:c>
      <x:c r="F93">
        <x:v>15.4</x:v>
      </x:c>
      <x:c r="G93">
        <x:v>59.88</x:v>
      </x:c>
      <x:c r="H93">
        <x:v>1.331</x:v>
      </x:c>
      <x:c r="I93" t="s">
        <x:v>14</x:v>
      </x:c>
      <x:c r="J93" t="s">
        <x:v>11</x:v>
      </x:c>
    </x:row>
    <x:row r="94">
      <x:c r="A94">
        <x:v>2.4</x:v>
      </x:c>
      <x:c r="C94">
        <x:v>7.2</x:v>
      </x:c>
      <x:c r="D94">
        <x:v>9</x:v>
      </x:c>
      <x:c r="E94">
        <x:v>78</x:v>
      </x:c>
      <x:c r="F94">
        <x:v>22.2</x:v>
      </x:c>
      <x:c r="G94">
        <x:v>103.8</x:v>
      </x:c>
      <x:c r="H94">
        <x:v>1.331</x:v>
      </x:c>
      <x:c r="I94" t="s">
        <x:v>14</x:v>
      </x:c>
      <x:c r="J94" t="s">
        <x:v>11</x:v>
      </x:c>
    </x:row>
    <x:row r="95">
      <x:c r="A95">
        <x:v>3.4</x:v>
      </x:c>
      <x:c r="C95">
        <x:v>5.0999999999999996</x:v>
      </x:c>
      <x:c r="D95">
        <x:v>8</x:v>
      </x:c>
      <x:c r="E95">
        <x:v>68</x:v>
      </x:c>
      <x:c r="F95">
        <x:v>20.100000000000001</x:v>
      </x:c>
      <x:c r="G95">
        <x:v>90.79</x:v>
      </x:c>
      <x:c r="H95">
        <x:v>1.335</x:v>
      </x:c>
      <x:c r="I95" t="s">
        <x:v>14</x:v>
      </x:c>
      <x:c r="J95" t="s">
        <x:v>11</x:v>
      </x:c>
    </x:row>
    <x:row r="96">
      <x:c r="A96">
        <x:v>2.2999999999999998</x:v>
      </x:c>
      <x:c r="C96">
        <x:v>8.57</x:v>
      </x:c>
      <x:c r="D96">
        <x:v>11</x:v>
      </x:c>
      <x:c r="E96">
        <x:v>90</x:v>
      </x:c>
      <x:c r="F96">
        <x:v>25.3</x:v>
      </x:c>
      <x:c r="G96">
        <x:v>121.11</x:v>
      </x:c>
      <x:c r="H96">
        <x:v>1.3460000000000001</x:v>
      </x:c>
      <x:c r="I96" t="s">
        <x:v>14</x:v>
      </x:c>
      <x:c r="J96" t="s">
        <x:v>11</x:v>
      </x:c>
    </x:row>
    <x:row r="97">
      <x:c r="A97">
        <x:v>3.2</x:v>
      </x:c>
      <x:c r="C97">
        <x:v>6.04</x:v>
      </x:c>
      <x:c r="D97">
        <x:v>9</x:v>
      </x:c>
      <x:c r="E97">
        <x:v>78</x:v>
      </x:c>
      <x:c r="F97">
        <x:v>22.3</x:v>
      </x:c>
      <x:c r="G97">
        <x:v>105.22</x:v>
      </x:c>
      <x:c r="H97">
        <x:v>1.349</x:v>
      </x:c>
      <x:c r="I97" t="s">
        <x:v>14</x:v>
      </x:c>
      <x:c r="J97" t="s">
        <x:v>11</x:v>
      </x:c>
    </x:row>
    <x:row r="98">
      <x:c r="A98">
        <x:v>2.4</x:v>
      </x:c>
      <x:c r="C98">
        <x:v>7.93</x:v>
      </x:c>
      <x:c r="D98">
        <x:v>10</x:v>
      </x:c>
      <x:c r="E98">
        <x:v>86</x:v>
      </x:c>
      <x:c r="F98">
        <x:v>24.2</x:v>
      </x:c>
      <x:c r="G98">
        <x:v>116.02</x:v>
      </x:c>
      <x:c r="H98">
        <x:v>1.349</x:v>
      </x:c>
      <x:c r="I98" t="s">
        <x:v>14</x:v>
      </x:c>
      <x:c r="J98" t="s">
        <x:v>11</x:v>
      </x:c>
    </x:row>
    <x:row r="99">
      <x:c r="A99">
        <x:v>2.8</x:v>
      </x:c>
      <x:c r="C99">
        <x:v>2.94</x:v>
      </x:c>
      <x:c r="D99">
        <x:v>3</x:v>
      </x:c>
      <x:c r="E99">
        <x:v>23.5</x:v>
      </x:c>
      <x:c r="F99">
        <x:v>9.6999999999999993</x:v>
      </x:c>
      <x:c r="G99">
        <x:v>31.76</x:v>
      </x:c>
      <x:c r="H99">
        <x:v>1.351</x:v>
      </x:c>
      <x:c r="I99" t="s">
        <x:v>14</x:v>
      </x:c>
      <x:c r="J99" t="s">
        <x:v>11</x:v>
      </x:c>
    </x:row>
    <x:row r="100">
      <x:c r="A100">
        <x:v>2.4</x:v>
      </x:c>
      <x:c r="C100">
        <x:v>4.83</x:v>
      </x:c>
      <x:c r="D100">
        <x:v>5</x:v>
      </x:c>
      <x:c r="E100">
        <x:v>46</x:v>
      </x:c>
      <x:c r="F100">
        <x:v>14.2</x:v>
      </x:c>
      <x:c r="G100">
        <x:v>62.18</x:v>
      </x:c>
      <x:c r="H100">
        <x:v>1.3520000000000001</x:v>
      </x:c>
      <x:c r="I100" t="s">
        <x:v>14</x:v>
      </x:c>
      <x:c r="J100" t="s">
        <x:v>11</x:v>
      </x:c>
    </x:row>
    <x:row r="101">
      <x:c r="A101">
        <x:v>4.5</x:v>
      </x:c>
      <x:c r="C101">
        <x:v>3.56</x:v>
      </x:c>
      <x:c r="D101">
        <x:v>6</x:v>
      </x:c>
      <x:c r="E101">
        <x:v>52</x:v>
      </x:c>
      <x:c r="F101">
        <x:v>18</x:v>
      </x:c>
      <x:c r="G101">
        <x:v>70.760000000000005</x:v>
      </x:c>
      <x:c r="H101">
        <x:v>1.361</x:v>
      </x:c>
      <x:c r="I101" t="s">
        <x:v>14</x:v>
      </x:c>
      <x:c r="J101" t="s">
        <x:v>11</x:v>
      </x:c>
    </x:row>
    <x:row r="102">
      <x:c r="A102">
        <x:v>3.4</x:v>
      </x:c>
      <x:c r="C102">
        <x:v>3.75</x:v>
      </x:c>
      <x:c r="D102">
        <x:v>5</x:v>
      </x:c>
      <x:c r="E102">
        <x:v>42.5</x:v>
      </x:c>
      <x:c r="F102">
        <x:v>14.8</x:v>
      </x:c>
      <x:c r="G102">
        <x:v>58.26</x:v>
      </x:c>
      <x:c r="H102">
        <x:v>1.371</x:v>
      </x:c>
      <x:c r="I102" t="s">
        <x:v>14</x:v>
      </x:c>
      <x:c r="J102" t="s">
        <x:v>11</x:v>
      </x:c>
    </x:row>
    <x:row r="103">
      <x:c r="A103">
        <x:v>1.6</x:v>
      </x:c>
      <x:c r="C103">
        <x:v>4.4800000000000004</x:v>
      </x:c>
      <x:c r="D103">
        <x:v>3</x:v>
      </x:c>
      <x:c r="E103">
        <x:v>27</x:v>
      </x:c>
      <x:c r="F103">
        <x:v>8.3000000000000007</x:v>
      </x:c>
      <x:c r="G103">
        <x:v>37.15</x:v>
      </x:c>
      <x:c r="H103">
        <x:v>1.3759999999999999</x:v>
      </x:c>
      <x:c r="I103" t="s">
        <x:v>15</x:v>
      </x:c>
      <x:c r="J103" t="s">
        <x:v>11</x:v>
      </x:c>
    </x:row>
    <x:row r="104">
      <x:c r="A104">
        <x:v>3.4</x:v>
      </x:c>
      <x:c r="C104">
        <x:v>5.23</x:v>
      </x:c>
      <x:c r="D104">
        <x:v>8</x:v>
      </x:c>
      <x:c r="E104">
        <x:v>68</x:v>
      </x:c>
      <x:c r="F104">
        <x:v>20.3</x:v>
      </x:c>
      <x:c r="G104">
        <x:v>93.81</x:v>
      </x:c>
      <x:c r="H104">
        <x:v>1.38</x:v>
      </x:c>
      <x:c r="I104" t="s">
        <x:v>15</x:v>
      </x:c>
      <x:c r="J104" t="s">
        <x:v>11</x:v>
      </x:c>
    </x:row>
    <x:row r="105">
      <x:c r="A105">
        <x:v>2.5</x:v>
      </x:c>
      <x:c r="C105">
        <x:v>6.75</x:v>
      </x:c>
      <x:c r="D105">
        <x:v>8</x:v>
      </x:c>
      <x:c r="E105">
        <x:v>72</x:v>
      </x:c>
      <x:c r="F105">
        <x:v>21</x:v>
      </x:c>
      <x:c r="G105">
        <x:v>100.04</x:v>
      </x:c>
      <x:c r="H105">
        <x:v>1.389</x:v>
      </x:c>
      <x:c r="I105" t="s">
        <x:v>15</x:v>
      </x:c>
      <x:c r="J105" t="s">
        <x:v>12</x:v>
      </x:c>
    </x:row>
    <x:row r="106">
      <x:c r="A106">
        <x:v>2.5</x:v>
      </x:c>
      <x:c r="C106">
        <x:v>5.84</x:v>
      </x:c>
      <x:c r="D106">
        <x:v>7</x:v>
      </x:c>
      <x:c r="E106">
        <x:v>60</x:v>
      </x:c>
      <x:c r="F106">
        <x:v>18.2</x:v>
      </x:c>
      <x:c r="G106">
        <x:v>83.53</x:v>
      </x:c>
      <x:c r="H106">
        <x:v>1.3919999999999999</x:v>
      </x:c>
      <x:c r="I106" t="s">
        <x:v>15</x:v>
      </x:c>
      <x:c r="J106" t="s">
        <x:v>11</x:v>
      </x:c>
    </x:row>
    <x:row r="107">
      <x:c r="A107">
        <x:v>3.4</x:v>
      </x:c>
      <x:c r="C107">
        <x:v>4.8</x:v>
      </x:c>
      <x:c r="D107">
        <x:v>7</x:v>
      </x:c>
      <x:c r="E107">
        <x:v>60</x:v>
      </x:c>
      <x:c r="F107">
        <x:v>18.3</x:v>
      </x:c>
      <x:c r="G107">
        <x:v>83.7</x:v>
      </x:c>
      <x:c r="H107">
        <x:v>1.395</x:v>
      </x:c>
      <x:c r="I107" t="s">
        <x:v>15</x:v>
      </x:c>
      <x:c r="J107" t="s">
        <x:v>11</x:v>
      </x:c>
    </x:row>
    <x:row r="108">
      <x:c r="A108">
        <x:v>2.4</x:v>
      </x:c>
      <x:c r="C108">
        <x:v>7.29</x:v>
      </x:c>
      <x:c r="D108">
        <x:v>9</x:v>
      </x:c>
      <x:c r="E108">
        <x:v>75</x:v>
      </x:c>
      <x:c r="F108">
        <x:v>21.6</x:v>
      </x:c>
      <x:c r="G108">
        <x:v>105.29</x:v>
      </x:c>
      <x:c r="H108">
        <x:v>1.4039999999999999</x:v>
      </x:c>
      <x:c r="I108" t="s">
        <x:v>15</x:v>
      </x:c>
      <x:c r="J108" t="s">
        <x:v>11</x:v>
      </x:c>
    </x:row>
    <x:row r="109">
      <x:c r="A109">
        <x:v>2.2999999999999998</x:v>
      </x:c>
      <x:c r="C109">
        <x:v>9.01</x:v>
      </x:c>
      <x:c r="D109">
        <x:v>11</x:v>
      </x:c>
      <x:c r="E109">
        <x:v>90</x:v>
      </x:c>
      <x:c r="F109">
        <x:v>26.7</x:v>
      </x:c>
      <x:c r="G109">
        <x:v>127.85</x:v>
      </x:c>
      <x:c r="H109">
        <x:v>1.421</x:v>
      </x:c>
      <x:c r="I109" t="s">
        <x:v>15</x:v>
      </x:c>
      <x:c r="J109" t="s">
        <x:v>11</x:v>
      </x:c>
    </x:row>
    <x:row r="110">
      <x:c r="A110">
        <x:v>2.2999999999999998</x:v>
      </x:c>
      <x:c r="C110">
        <x:v>8.17</x:v>
      </x:c>
      <x:c r="D110">
        <x:v>10</x:v>
      </x:c>
      <x:c r="E110">
        <x:v>80</x:v>
      </x:c>
      <x:c r="F110">
        <x:v>24</x:v>
      </x:c>
      <x:c r="G110">
        <x:v>114.82</x:v>
      </x:c>
      <x:c r="H110">
        <x:v>1.4350000000000001</x:v>
      </x:c>
      <x:c r="I110" t="s">
        <x:v>15</x:v>
      </x:c>
      <x:c r="J110" t="s">
        <x:v>12</x:v>
      </x:c>
    </x:row>
    <x:row r="111">
      <x:c r="A111">
        <x:v>2.4</x:v>
      </x:c>
      <x:c r="C111">
        <x:v>8.85</x:v>
      </x:c>
      <x:c r="D111">
        <x:v>11</x:v>
      </x:c>
      <x:c r="E111">
        <x:v>90</x:v>
      </x:c>
      <x:c r="F111">
        <x:v>25.5</x:v>
      </x:c>
      <x:c r="G111">
        <x:v>130.85</x:v>
      </x:c>
      <x:c r="H111">
        <x:v>1.454</x:v>
      </x:c>
      <x:c r="I111" t="s">
        <x:v>15</x:v>
      </x:c>
      <x:c r="J111" t="s">
        <x:v>11</x:v>
      </x:c>
    </x:row>
    <x:row r="112">
      <x:c r="A112">
        <x:v>2.4</x:v>
      </x:c>
      <x:c r="C112">
        <x:v>5.0199999999999996</x:v>
      </x:c>
      <x:c r="D112">
        <x:v>5</x:v>
      </x:c>
      <x:c r="E112">
        <x:v>45</x:v>
      </x:c>
      <x:c r="F112">
        <x:v>14.5</x:v>
      </x:c>
      <x:c r="G112">
        <x:v>65.64</x:v>
      </x:c>
      <x:c r="H112">
        <x:v>1.4590000000000001</x:v>
      </x:c>
      <x:c r="I112" t="s">
        <x:v>15</x:v>
      </x:c>
      <x:c r="J112" t="s">
        <x:v>11</x:v>
      </x:c>
    </x:row>
    <x:row r="113">
      <x:c r="A113">
        <x:v>2.4</x:v>
      </x:c>
      <x:c r="C113">
        <x:v>7.63</x:v>
      </x:c>
      <x:c r="D113">
        <x:v>9</x:v>
      </x:c>
      <x:c r="E113">
        <x:v>76</x:v>
      </x:c>
      <x:c r="F113">
        <x:v>23</x:v>
      </x:c>
      <x:c r="G113">
        <x:v>111.03</x:v>
      </x:c>
      <x:c r="H113">
        <x:v>1.4610000000000001</x:v>
      </x:c>
      <x:c r="I113" t="s">
        <x:v>15</x:v>
      </x:c>
      <x:c r="J113" t="s">
        <x:v>11</x:v>
      </x:c>
    </x:row>
    <x:row r="114">
      <x:c r="A114">
        <x:v>2.5</x:v>
      </x:c>
      <x:c r="C114">
        <x:v>7.05</x:v>
      </x:c>
      <x:c r="D114">
        <x:v>8</x:v>
      </x:c>
      <x:c r="E114">
        <x:v>72</x:v>
      </x:c>
      <x:c r="F114">
        <x:v>21.4</x:v>
      </x:c>
      <x:c r="G114">
        <x:v>105.38</x:v>
      </x:c>
      <x:c r="H114">
        <x:v>1.464</x:v>
      </x:c>
      <x:c r="I114" t="s">
        <x:v>15</x:v>
      </x:c>
      <x:c r="J114" t="s">
        <x:v>11</x:v>
      </x:c>
    </x:row>
    <x:row r="115">
      <x:c r="A115">
        <x:v>2.5</x:v>
      </x:c>
      <x:c r="C115">
        <x:v>5.47</x:v>
      </x:c>
      <x:c r="D115">
        <x:v>6</x:v>
      </x:c>
      <x:c r="E115">
        <x:v>52</x:v>
      </x:c>
      <x:c r="F115">
        <x:v>16.100000000000001</x:v>
      </x:c>
      <x:c r="G115">
        <x:v>76.81</x:v>
      </x:c>
      <x:c r="H115">
        <x:v>1.4770000000000001</x:v>
      </x:c>
      <x:c r="I115" t="s">
        <x:v>15</x:v>
      </x:c>
      <x:c r="J115" t="s">
        <x:v>11</x:v>
      </x:c>
    </x:row>
    <x:row r="116">
      <x:c r="A116">
        <x:v>2.4</x:v>
      </x:c>
      <x:c r="C116">
        <x:v>6.39</x:v>
      </x:c>
      <x:c r="D116">
        <x:v>7</x:v>
      </x:c>
      <x:c r="E116">
        <x:v>60</x:v>
      </x:c>
      <x:c r="F116">
        <x:v>18.600000000000001</x:v>
      </x:c>
      <x:c r="G116">
        <x:v>89.88</x:v>
      </x:c>
      <x:c r="H116">
        <x:v>1.498</x:v>
      </x:c>
      <x:c r="I116" t="s">
        <x:v>15</x:v>
      </x:c>
      <x:c r="J116" t="s">
        <x:v>11</x:v>
      </x:c>
    </x:row>
    <x:row r="117">
      <x:c r="A117">
        <x:v>2.4</x:v>
      </x:c>
      <x:c r="C117">
        <x:v>7.85</x:v>
      </x:c>
      <x:c r="D117">
        <x:v>9</x:v>
      </x:c>
      <x:c r="E117">
        <x:v>76</x:v>
      </x:c>
      <x:c r="F117">
        <x:v>23.7</x:v>
      </x:c>
      <x:c r="G117">
        <x:v>114.68</x:v>
      </x:c>
      <x:c r="H117">
        <x:v>1.5089999999999999</x:v>
      </x:c>
      <x:c r="I117" t="s">
        <x:v>15</x:v>
      </x:c>
      <x:c r="J117" t="s">
        <x:v>12</x:v>
      </x:c>
    </x:row>
    <x:row r="118">
      <x:c r="A118">
        <x:v>2.4</x:v>
      </x:c>
      <x:c r="C118">
        <x:v>8.43</x:v>
      </x:c>
      <x:c r="D118">
        <x:v>10</x:v>
      </x:c>
      <x:c r="E118">
        <x:v>82</x:v>
      </x:c>
      <x:c r="F118">
        <x:v>25.3</x:v>
      </x:c>
      <x:c r="G118">
        <x:v>124.1</x:v>
      </x:c>
      <x:c r="H118">
        <x:v>1.5129999999999999</x:v>
      </x:c>
      <x:c r="I118" t="s">
        <x:v>15</x:v>
      </x:c>
      <x:c r="J118" t="s">
        <x:v>11</x:v>
      </x:c>
    </x:row>
    <x:row r="119">
      <x:c r="A119">
        <x:v>2.7</x:v>
      </x:c>
      <x:c r="C119">
        <x:v>4.6100000000000003</x:v>
      </x:c>
      <x:c r="D119">
        <x:v>5</x:v>
      </x:c>
      <x:c r="E119">
        <x:v>43</x:v>
      </x:c>
      <x:c r="F119">
        <x:v>13</x:v>
      </x:c>
      <x:c r="G119">
        <x:v>65.47</x:v>
      </x:c>
      <x:c r="H119">
        <x:v>1.5229999999999999</x:v>
      </x:c>
      <x:c r="I119" t="s">
        <x:v>15</x:v>
      </x:c>
      <x:c r="J119" t="s">
        <x:v>12</x:v>
      </x:c>
    </x:row>
    <x:row r="120">
      <x:c r="A120">
        <x:v>1.5</x:v>
      </x:c>
      <x:c r="C120">
        <x:v>6.33</x:v>
      </x:c>
      <x:c r="D120">
        <x:v>5</x:v>
      </x:c>
      <x:c r="E120">
        <x:v>36</x:v>
      </x:c>
      <x:c r="F120">
        <x:v>11.5</x:v>
      </x:c>
      <x:c r="G120">
        <x:v>55.48</x:v>
      </x:c>
      <x:c r="H120">
        <x:v>1.5409999999999999</x:v>
      </x:c>
      <x:c r="I120" t="s">
        <x:v>16</x:v>
      </x:c>
      <x:c r="J120" t="s">
        <x:v>11</x:v>
      </x:c>
    </x:row>
    <x:row r="121">
      <x:c r="A121">
        <x:v>2.4</x:v>
      </x:c>
      <x:c r="C121">
        <x:v>5.87</x:v>
      </x:c>
      <x:c r="D121">
        <x:v>6</x:v>
      </x:c>
      <x:c r="E121">
        <x:v>52</x:v>
      </x:c>
      <x:c r="F121">
        <x:v>16.899999999999999</x:v>
      </x:c>
      <x:c r="G121">
        <x:v>80.83</x:v>
      </x:c>
      <x:c r="H121">
        <x:v>1.554</x:v>
      </x:c>
      <x:c r="I121" t="s">
        <x:v>16</x:v>
      </x:c>
      <x:c r="J121" t="s">
        <x:v>11</x:v>
      </x:c>
    </x:row>
    <x:row r="122">
      <x:c r="A122">
        <x:v>2.6</x:v>
      </x:c>
      <x:c r="C122">
        <x:v>5.13</x:v>
      </x:c>
      <x:c r="D122">
        <x:v>5.5</x:v>
      </x:c>
      <x:c r="E122">
        <x:v>47</x:v>
      </x:c>
      <x:c r="F122">
        <x:v>14.6</x:v>
      </x:c>
      <x:c r="G122">
        <x:v>73.19</x:v>
      </x:c>
      <x:c r="H122">
        <x:v>1.5569999999999999</x:v>
      </x:c>
      <x:c r="I122" t="s">
        <x:v>16</x:v>
      </x:c>
      <x:c r="J122" t="s">
        <x:v>11</x:v>
      </x:c>
    </x:row>
    <x:row r="123">
      <x:c r="A123">
        <x:v>2.4</x:v>
      </x:c>
      <x:c r="C123">
        <x:v>8.66</x:v>
      </x:c>
      <x:c r="D123">
        <x:v>10</x:v>
      </x:c>
      <x:c r="E123">
        <x:v>82</x:v>
      </x:c>
      <x:c r="F123">
        <x:v>25.9</x:v>
      </x:c>
      <x:c r="G123">
        <x:v>127.73</x:v>
      </x:c>
      <x:c r="H123">
        <x:v>1.5580000000000001</x:v>
      </x:c>
      <x:c r="I123" t="s">
        <x:v>16</x:v>
      </x:c>
      <x:c r="J123" t="s">
        <x:v>11</x:v>
      </x:c>
    </x:row>
    <x:row r="124">
      <x:c r="A124" s="30" t="n">
        <x:v>2.4</x:v>
      </x:c>
      <x:c r="C124">
        <x:v>7.74</x:v>
      </x:c>
      <x:c r="D124">
        <x:v>9</x:v>
      </x:c>
      <x:c r="E124">
        <x:v>72</x:v>
      </x:c>
      <x:c r="F124">
        <x:v>22.5</x:v>
      </x:c>
      <x:c r="G124">
        <x:v>112.87</x:v>
      </x:c>
      <x:c r="H124">
        <x:v>1.5680000000000001</x:v>
      </x:c>
      <x:c r="I124" t="s">
        <x:v>16</x:v>
      </x:c>
      <x:c r="J124" t="s">
        <x:v>11</x:v>
      </x:c>
    </x:row>
    <x:row r="125">
      <x:c r="A125">
        <x:v>2.5</x:v>
      </x:c>
      <x:c r="C125">
        <x:v>6.42</x:v>
      </x:c>
      <x:c r="D125">
        <x:v>7</x:v>
      </x:c>
      <x:c r="E125">
        <x:v>60</x:v>
      </x:c>
      <x:c r="F125">
        <x:v>19</x:v>
      </x:c>
      <x:c r="G125">
        <x:v>94.13</x:v>
      </x:c>
      <x:c r="H125">
        <x:v>1.569</x:v>
      </x:c>
      <x:c r="I125" t="s">
        <x:v>16</x:v>
      </x:c>
      <x:c r="J125" t="s">
        <x:v>11</x:v>
      </x:c>
    </x:row>
    <x:row r="126">
      <x:c r="A126">
        <x:v>2.4</x:v>
      </x:c>
      <x:c r="C126">
        <x:v>5.13</x:v>
      </x:c>
      <x:c r="D126">
        <x:v>5</x:v>
      </x:c>
      <x:c r="E126">
        <x:v>43</x:v>
      </x:c>
      <x:c r="F126">
        <x:v>14.9</x:v>
      </x:c>
      <x:c r="G126">
        <x:v>67.510000000000005</x:v>
      </x:c>
      <x:c r="H126">
        <x:v>1.57</x:v>
      </x:c>
      <x:c r="I126" t="s">
        <x:v>16</x:v>
      </x:c>
      <x:c r="J126" t="s">
        <x:v>12</x:v>
      </x:c>
    </x:row>
    <x:row r="127">
      <x:c r="A127">
        <x:v>2.2999999999999998</x:v>
      </x:c>
      <x:c r="C127">
        <x:v>8.8800000000000008</x:v>
      </x:c>
      <x:c r="D127">
        <x:v>10</x:v>
      </x:c>
      <x:c r="E127">
        <x:v>80</x:v>
      </x:c>
      <x:c r="F127">
        <x:v>25</x:v>
      </x:c>
      <x:c r="G127">
        <x:v>125.79</x:v>
      </x:c>
      <x:c r="H127">
        <x:v>1.5720000000000001</x:v>
      </x:c>
      <x:c r="I127" t="s">
        <x:v>16</x:v>
      </x:c>
      <x:c r="J127" t="s">
        <x:v>11</x:v>
      </x:c>
    </x:row>
    <x:row r="128">
      <x:c r="A128" s="30" t="n">
        <x:v>3.4</x:v>
      </x:c>
      <x:c r="C128">
        <x:v>5.09</x:v>
      </x:c>
      <x:c r="D128">
        <x:v>7</x:v>
      </x:c>
      <x:c r="E128">
        <x:v>57</x:v>
      </x:c>
      <x:c r="F128">
        <x:v>19.3</x:v>
      </x:c>
      <x:c r="G128">
        <x:v>90.45</x:v>
      </x:c>
      <x:c r="H128">
        <x:v>1.587</x:v>
      </x:c>
      <x:c r="I128" t="s">
        <x:v>16</x:v>
      </x:c>
      <x:c r="J128" t="s">
        <x:v>11</x:v>
      </x:c>
    </x:row>
    <x:row r="129">
      <x:c r="A129">
        <x:v>3.4</x:v>
      </x:c>
      <x:c r="C129">
        <x:v>5.25</x:v>
      </x:c>
      <x:c r="D129">
        <x:v>7</x:v>
      </x:c>
      <x:c r="E129">
        <x:v>57</x:v>
      </x:c>
      <x:c r="F129">
        <x:v>19.7</x:v>
      </x:c>
      <x:c r="G129">
        <x:v>94.13</x:v>
      </x:c>
      <x:c r="H129">
        <x:v>1.651</x:v>
      </x:c>
      <x:c r="I129" t="s">
        <x:v>16</x:v>
      </x:c>
      <x:c r="J129" t="s">
        <x:v>11</x:v>
      </x:c>
    </x:row>
    <x:row r="130">
      <x:c r="A130">
        <x:v>4.5</x:v>
      </x:c>
      <x:c r="C130">
        <x:v>3.43</x:v>
      </x:c>
      <x:c r="D130">
        <x:v>5</x:v>
      </x:c>
      <x:c r="E130">
        <x:v>40</x:v>
      </x:c>
      <x:c r="F130">
        <x:v>16.7</x:v>
      </x:c>
      <x:c r="G130">
        <x:v>66.42</x:v>
      </x:c>
      <x:c r="H130">
        <x:v>1.661</x:v>
      </x:c>
      <x:c r="I130" t="s">
        <x:v>16</x:v>
      </x:c>
      <x:c r="J130" t="s">
        <x:v>11</x:v>
      </x:c>
    </x:row>
    <x:row r="131">
      <x:c r="A131">
        <x:v>2.4</x:v>
      </x:c>
      <x:c r="C131">
        <x:v>5.29</x:v>
      </x:c>
      <x:c r="D131">
        <x:v>5</x:v>
      </x:c>
      <x:c r="E131">
        <x:v>42</x:v>
      </x:c>
      <x:c r="F131">
        <x:v>15.6</x:v>
      </x:c>
      <x:c r="G131">
        <x:v>70.41</x:v>
      </x:c>
      <x:c r="H131">
        <x:v>1.6759999999999999</x:v>
      </x:c>
      <x:c r="I131" t="s">
        <x:v>16</x:v>
      </x:c>
      <x:c r="J131" t="s">
        <x:v>11</x:v>
      </x:c>
    </x:row>
    <x:row r="132">
      <x:c r="A132">
        <x:v>2.7</x:v>
      </x:c>
      <x:c r="C132">
        <x:v>4.9800000000000004</x:v>
      </x:c>
      <x:c r="D132">
        <x:v>5</x:v>
      </x:c>
      <x:c r="E132">
        <x:v>43</x:v>
      </x:c>
      <x:c r="F132">
        <x:v>14.4</x:v>
      </x:c>
      <x:c r="G132">
        <x:v>73.03</x:v>
      </x:c>
      <x:c r="H132">
        <x:v>1.698</x:v>
      </x:c>
      <x:c r="I132" t="s">
        <x:v>16</x:v>
      </x:c>
      <x:c r="J132" t="s">
        <x:v>11</x:v>
      </x:c>
    </x:row>
    <x:row r="133">
      <x:c r="A133">
        <x:v>1.7</x:v>
      </x:c>
      <x:c r="C133">
        <x:v>6.26</x:v>
      </x:c>
      <x:c r="D133">
        <x:v>5</x:v>
      </x:c>
      <x:c r="E133">
        <x:v>36</x:v>
      </x:c>
      <x:c r="F133">
        <x:v>13</x:v>
      </x:c>
      <x:c r="G133">
        <x:v>62.04</x:v>
      </x:c>
      <x:c r="H133">
        <x:v>1.7230000000000001</x:v>
      </x:c>
      <x:c r="I133" t="s">
        <x:v>16</x:v>
      </x:c>
      <x:c r="J133" t="s">
        <x:v>12</x:v>
      </x:c>
    </x:row>
    <x:row r="134">
      <x:c r="A134">
        <x:v>2.4</x:v>
      </x:c>
      <x:c r="C134">
        <x:v>6.78</x:v>
      </x:c>
      <x:c r="D134">
        <x:v>7</x:v>
      </x:c>
      <x:c r="E134">
        <x:v>56</x:v>
      </x:c>
      <x:c r="F134">
        <x:v>19.8</x:v>
      </x:c>
      <x:c r="G134">
        <x:v>96.55</x:v>
      </x:c>
      <x:c r="H134">
        <x:v>1.724</x:v>
      </x:c>
      <x:c r="I134" t="s">
        <x:v>16</x:v>
      </x:c>
      <x:c r="J134" t="s">
        <x:v>11</x:v>
      </x:c>
    </x:row>
    <x:row r="135">
      <x:c r="A135">
        <x:v>2.4</x:v>
      </x:c>
      <x:c r="C135">
        <x:v>8.09</x:v>
      </x:c>
      <x:c r="D135">
        <x:v>9</x:v>
      </x:c>
      <x:c r="E135">
        <x:v>68</x:v>
      </x:c>
      <x:c r="F135">
        <x:v>23.8</x:v>
      </x:c>
      <x:c r="G135">
        <x:v>118.64</x:v>
      </x:c>
      <x:c r="H135">
        <x:v>1.7450000000000001</x:v>
      </x:c>
      <x:c r="I135" t="s">
        <x:v>16</x:v>
      </x:c>
      <x:c r="J135" t="s">
        <x:v>12</x:v>
      </x:c>
    </x:row>
    <x:row r="136">
      <x:c r="A136">
        <x:v>2.5</x:v>
      </x:c>
      <x:c r="C136">
        <x:v>5.95</x:v>
      </x:c>
      <x:c r="D136">
        <x:v>6</x:v>
      </x:c>
      <x:c r="E136">
        <x:v>49</x:v>
      </x:c>
      <x:c r="F136">
        <x:v>17.399999999999999</x:v>
      </x:c>
      <x:c r="G136">
        <x:v>85.58</x:v>
      </x:c>
      <x:c r="H136">
        <x:v>1.7470000000000001</x:v>
      </x:c>
      <x:c r="I136" t="s">
        <x:v>16</x:v>
      </x:c>
      <x:c r="J136" t="s">
        <x:v>12</x:v>
      </x:c>
    </x:row>
    <x:row r="137">
      <x:c r="A137">
        <x:v>4.5</x:v>
      </x:c>
      <x:c r="C137">
        <x:v>3.58</x:v>
      </x:c>
      <x:c r="D137">
        <x:v>5</x:v>
      </x:c>
      <x:c r="E137">
        <x:v>40</x:v>
      </x:c>
      <x:c r="F137">
        <x:v>16.5</x:v>
      </x:c>
      <x:c r="G137">
        <x:v>71.36</x:v>
      </x:c>
      <x:c r="H137">
        <x:v>1.784</x:v>
      </x:c>
      <x:c r="I137" t="s">
        <x:v>17</x:v>
      </x:c>
      <x:c r="J137" t="s">
        <x:v>12</x:v>
      </x:c>
    </x:row>
    <x:row r="138">
      <x:c r="A138">
        <x:v>2.4</x:v>
      </x:c>
      <x:c r="C138">
        <x:v>7.63</x:v>
      </x:c>
      <x:c r="D138">
        <x:v>8</x:v>
      </x:c>
      <x:c r="E138">
        <x:v>62</x:v>
      </x:c>
      <x:c r="F138">
        <x:v>22.3</x:v>
      </x:c>
      <x:c r="G138">
        <x:v>111.03</x:v>
      </x:c>
      <x:c r="H138">
        <x:v>1.7909999999999999</x:v>
      </x:c>
      <x:c r="I138" t="s">
        <x:v>17</x:v>
      </x:c>
      <x:c r="J138" t="s">
        <x:v>11</x:v>
      </x:c>
    </x:row>
    <x:row r="139">
      <x:c r="A139">
        <x:v>2.4</x:v>
      </x:c>
      <x:c r="C139">
        <x:v>8.3800000000000008</x:v>
      </x:c>
      <x:c r="D139">
        <x:v>9</x:v>
      </x:c>
      <x:c r="E139">
        <x:v>68</x:v>
      </x:c>
      <x:c r="F139">
        <x:v>24.5</x:v>
      </x:c>
      <x:c r="G139">
        <x:v>123.28</x:v>
      </x:c>
      <x:c r="H139">
        <x:v>1.8129999999999999</x:v>
      </x:c>
      <x:c r="I139" t="s">
        <x:v>17</x:v>
      </x:c>
      <x:c r="J139" t="s">
        <x:v>12</x:v>
      </x:c>
    </x:row>
    <x:row r="140">
      <x:c r="A140">
        <x:v>2.5</x:v>
      </x:c>
      <x:c r="C140">
        <x:v>6.18</x:v>
      </x:c>
      <x:c r="D140">
        <x:v>6</x:v>
      </x:c>
      <x:c r="E140">
        <x:v>49</x:v>
      </x:c>
      <x:c r="F140">
        <x:v>18</x:v>
      </x:c>
      <x:c r="G140">
        <x:v>89.81</x:v>
      </x:c>
      <x:c r="H140">
        <x:v>1.833</x:v>
      </x:c>
      <x:c r="I140" t="s">
        <x:v>17</x:v>
      </x:c>
      <x:c r="J140" t="s">
        <x:v>11</x:v>
      </x:c>
    </x:row>
    <x:row r="141">
      <x:c r="A141">
        <x:v>3.4</x:v>
      </x:c>
      <x:c r="C141">
        <x:v>4.9400000000000004</x:v>
      </x:c>
      <x:c r="D141">
        <x:v>6</x:v>
      </x:c>
      <x:c r="E141">
        <x:v>47</x:v>
      </x:c>
      <x:c r="F141">
        <x:v>18</x:v>
      </x:c>
      <x:c r="G141">
        <x:v>86.96</x:v>
      </x:c>
      <x:c r="H141">
        <x:v>1.85</x:v>
      </x:c>
      <x:c r="I141" t="s">
        <x:v>17</x:v>
      </x:c>
      <x:c r="J141" t="s">
        <x:v>12</x:v>
      </x:c>
    </x:row>
    <x:row r="142">
      <x:c r="A142">
        <x:v>2.4</x:v>
      </x:c>
      <x:c r="C142">
        <x:v>7.93</x:v>
      </x:c>
      <x:c r="D142">
        <x:v>8</x:v>
      </x:c>
      <x:c r="E142">
        <x:v>62</x:v>
      </x:c>
      <x:c r="F142">
        <x:v>23.1</x:v>
      </x:c>
      <x:c r="G142">
        <x:v>116.02</x:v>
      </x:c>
      <x:c r="H142">
        <x:v>1.871</x:v>
      </x:c>
      <x:c r="I142" t="s">
        <x:v>17</x:v>
      </x:c>
      <x:c r="J142" t="s">
        <x:v>11</x:v>
      </x:c>
    </x:row>
    <x:row r="143">
      <x:c r="A143">
        <x:v>2.4</x:v>
      </x:c>
      <x:c r="C143">
        <x:v>6.26</x:v>
      </x:c>
      <x:c r="D143">
        <x:v>6</x:v>
      </x:c>
      <x:c r="E143">
        <x:v>46</x:v>
      </x:c>
      <x:c r="F143">
        <x:v>18.3</x:v>
      </x:c>
      <x:c r="G143">
        <x:v>87.55</x:v>
      </x:c>
      <x:c r="H143">
        <x:v>1.903</x:v>
      </x:c>
      <x:c r="I143" t="s">
        <x:v>17</x:v>
      </x:c>
      <x:c r="J143" t="s">
        <x:v>11</x:v>
      </x:c>
    </x:row>
    <x:row r="144">
      <x:c r="A144">
        <x:v>2.4</x:v>
      </x:c>
      <x:c r="C144">
        <x:v>7.29</x:v>
      </x:c>
      <x:c r="D144">
        <x:v>7</x:v>
      </x:c>
      <x:c r="E144">
        <x:v>54</x:v>
      </x:c>
      <x:c r="F144">
        <x:v>20.399999999999999</x:v>
      </x:c>
      <x:c r="G144">
        <x:v>105.29</x:v>
      </x:c>
      <x:c r="H144">
        <x:v>1.95</x:v>
      </x:c>
      <x:c r="I144" t="s">
        <x:v>17</x:v>
      </x:c>
      <x:c r="J144" t="s">
        <x:v>11</x:v>
      </x:c>
    </x:row>
    <x:row r="145">
      <x:c r="A145">
        <x:v>3.4</x:v>
      </x:c>
      <x:c r="C145">
        <x:v>5.31</x:v>
      </x:c>
      <x:c r="D145">
        <x:v>6</x:v>
      </x:c>
      <x:c r="E145">
        <x:v>47</x:v>
      </x:c>
      <x:c r="F145">
        <x:v>18.5</x:v>
      </x:c>
      <x:c r="G145">
        <x:v>93.81</x:v>
      </x:c>
      <x:c r="H145">
        <x:v>1.996</x:v>
      </x:c>
      <x:c r="I145" t="s">
        <x:v>17</x:v>
      </x:c>
      <x:c r="J145" t="s">
        <x:v>11</x:v>
      </x:c>
    </x:row>
    <x:row r="146">
      <x:c r="A146">
        <x:v>2.4</x:v>
      </x:c>
      <x:c r="C146">
        <x:v>5.6</x:v>
      </x:c>
      <x:c r="D146">
        <x:v>5</x:v>
      </x:c>
      <x:c r="E146">
        <x:v>38</x:v>
      </x:c>
      <x:c r="F146">
        <x:v>16.100000000000001</x:v>
      </x:c>
      <x:c r="G146">
        <x:v>75.94</x:v>
      </x:c>
      <x:c r="H146">
        <x:v>1.998</x:v>
      </x:c>
      <x:c r="I146" t="s">
        <x:v>17</x:v>
      </x:c>
      <x:c r="J146" t="s">
        <x:v>12</x:v>
      </x:c>
    </x:row>
    <x:row r="147">
      <x:c r="A147">
        <x:v>1.9</x:v>
      </x:c>
      <x:c r="C147">
        <x:v>6.51</x:v>
      </x:c>
      <x:c r="D147">
        <x:v>5</x:v>
      </x:c>
      <x:c r="E147">
        <x:v>36</x:v>
      </x:c>
      <x:c r="F147">
        <x:v>14</x:v>
      </x:c>
      <x:c r="G147">
        <x:v>72.790000000000006</x:v>
      </x:c>
      <x:c r="H147">
        <x:v>2.0219999999999998</x:v>
      </x:c>
      <x:c r="I147" t="s">
        <x:v>17</x:v>
      </x:c>
      <x:c r="J147" t="s">
        <x:v>11</x:v>
      </x:c>
    </x:row>
    <x:row r="148">
      <x:c r="A148">
        <x:v>2.4</x:v>
      </x:c>
      <x:c r="C148">
        <x:v>6.68</x:v>
      </x:c>
      <x:c r="D148">
        <x:v>6</x:v>
      </x:c>
      <x:c r="E148">
        <x:v>46</x:v>
      </x:c>
      <x:c r="F148">
        <x:v>19.7</x:v>
      </x:c>
      <x:c r="G148">
        <x:v>94.93</x:v>
      </x:c>
      <x:c r="H148">
        <x:v>2.0640000000000001</x:v>
      </x:c>
      <x:c r="I148" t="s">
        <x:v>17</x:v>
      </x:c>
      <x:c r="J148" t="s">
        <x:v>11</x:v>
      </x:c>
    </x:row>
    <x:row r="149">
      <x:c r="A149">
        <x:v>2.4</x:v>
      </x:c>
      <x:c r="C149">
        <x:v>7.77</x:v>
      </x:c>
      <x:c r="D149">
        <x:v>7</x:v>
      </x:c>
      <x:c r="E149">
        <x:v>54</x:v>
      </x:c>
      <x:c r="F149">
        <x:v>22.7</x:v>
      </x:c>
      <x:c r="G149">
        <x:v>113.32</x:v>
      </x:c>
      <x:c r="H149">
        <x:v>2.0990000000000002</x:v>
      </x:c>
      <x:c r="I149" t="s">
        <x:v>17</x:v>
      </x:c>
      <x:c r="J149" t="s">
        <x:v>11</x:v>
      </x:c>
    </x:row>
    <x:row r="150">
      <x:c r="A150">
        <x:v>2.7</x:v>
      </x:c>
      <x:c r="C150">
        <x:v>4.9400000000000004</x:v>
      </x:c>
      <x:c r="D150">
        <x:v>4.5</x:v>
      </x:c>
      <x:c r="E150">
        <x:v>34</x:v>
      </x:c>
      <x:c r="F150">
        <x:v>14.2</x:v>
      </x:c>
      <x:c r="G150">
        <x:v>72.12</x:v>
      </x:c>
      <x:c r="H150">
        <x:v>2.121</x:v>
      </x:c>
      <x:c r="I150" t="s">
        <x:v>17</x:v>
      </x:c>
      <x:c r="J150" t="s">
        <x:v>11</x:v>
      </x:c>
    </x:row>
    <x:row r="151">
      <x:c r="A151">
        <x:v>2.4</x:v>
      </x:c>
      <x:c r="C151">
        <x:v>5.84</x:v>
      </x:c>
      <x:c r="D151">
        <x:v>5</x:v>
      </x:c>
      <x:c r="E151">
        <x:v>37</x:v>
      </x:c>
      <x:c r="F151">
        <x:v>16.2</x:v>
      </x:c>
      <x:c r="G151">
        <x:v>80.19</x:v>
      </x:c>
      <x:c r="H151">
        <x:v>2.1669999999999998</x:v>
      </x:c>
      <x:c r="I151" t="s">
        <x:v>17</x:v>
      </x:c>
      <x:c r="J151" t="s">
        <x:v>11</x:v>
      </x:c>
    </x:row>
    <x:row r="152">
      <x:c r="A152">
        <x:v>3.4</x:v>
      </x:c>
      <x:c r="C152">
        <x:v>4.54</x:v>
      </x:c>
      <x:c r="D152">
        <x:v>5</x:v>
      </x:c>
      <x:c r="E152">
        <x:v>35</x:v>
      </x:c>
      <x:c r="F152">
        <x:v>16</x:v>
      </x:c>
      <x:c r="G152">
        <x:v>77.61</x:v>
      </x:c>
      <x:c r="H152">
        <x:v>2.2170000000000001</x:v>
      </x:c>
      <x:c r="I152" t="s">
        <x:v>17</x:v>
      </x:c>
      <x:c r="J152" t="s">
        <x:v>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cols>
    <x:col min="2" max="2" width="12.7109375" customWidth="1"/>
    <x:col min="3" max="3" width="13.7109375" customWidth="1"/>
    <x:col min="4" max="4" width="12.42578125" customWidth="1"/>
    <x:col min="5" max="5" width="13.85546875" customWidth="1"/>
    <x:col min="6" max="6" width="12.85546875" customWidth="1"/>
    <x:col min="7" max="7" width="13.42578125" customWidth="1"/>
    <x:col min="8" max="8" width="16" customWidth="1"/>
    <x:col min="9" max="9" width="13.7109375" customWidth="1"/>
  </x:cols>
  <x:sheetData>
    <x:row r="1">
      <x:c r="A1" t="s">
        <x:v>18</x:v>
      </x:c>
      <x:c r="B1" t="s">
        <x:v>2</x:v>
      </x:c>
      <x:c r="C1" t="s">
        <x:v>19</x:v>
      </x:c>
      <x:c r="D1" t="s">
        <x:v>7</x:v>
      </x:c>
      <x:c r="E1" t="s">
        <x:v>20</x:v>
      </x:c>
      <x:c r="F1" t="s">
        <x:v>21</x:v>
      </x:c>
      <x:c r="G1" t="s">
        <x:v>22</x:v>
      </x:c>
      <x:c r="H1" t="s">
        <x:v>23</x:v>
      </x:c>
      <x:c r="I1" t="s">
        <x:v>8</x:v>
      </x:c>
      <x:c r="J1" t="s">
        <x:v>9</x:v>
      </x:c>
    </x:row>
    <x:row r="2">
      <x:c r="A2">
        <x:v>0</x:v>
      </x:c>
      <x:c r="B2" t="n">
        <x:f>Raw_Data!C2</x:f>
        <x:v>3.61</x:v>
      </x:c>
      <x:c r="C2" t="n">
        <x:f>Raw_Data!A2/Reference_Stats!$B$8</x:f>
        <x:v>1.0703596744552395</x:v>
      </x:c>
      <x:c r="D2" t="n">
        <x:f>Raw_Data!H2</x:f>
        <x:v>0.893</x:v>
      </x:c>
      <x:c r="E2" t="n">
        <x:f>Raw_Data!F2/Raw_Data!A2</x:f>
        <x:v>4.555555555555555</x:v>
      </x:c>
      <x:c r="F2" t="n">
        <x:f>Raw_Data!D2/Raw_Data!A2</x:f>
        <x:v>1.8518518518518516</x:v>
      </x:c>
      <x:c r="G2" t="n">
        <x:f>Raw_Data!E2/Raw_Data!A2</x:f>
        <x:v>18.51851851851852</x:v>
      </x:c>
      <x:c r="H2" t="n">
        <x:f>Raw_Data!G2/Raw_Data!A2</x:f>
        <x:v>16.537037037037035</x:v>
      </x:c>
      <x:c r="I2" t="str">
        <x:f>Raw_Data!I2</x:f>
        <x:v>γ≈1.00</x:v>
      </x:c>
      <x:c r="J2" t="str">
        <x:f>Raw_Data!J2</x:f>
        <x:v>Train</x:v>
      </x:c>
    </x:row>
    <x:row r="3">
      <x:c r="A3">
        <x:v>1</x:v>
      </x:c>
      <x:c r="B3" t="n">
        <x:f>Raw_Data!C3</x:f>
        <x:v>3.44</x:v>
      </x:c>
      <x:c r="C3" t="n">
        <x:f>Raw_Data!A3/Reference_Stats!$B$8</x:f>
        <x:v>1.0703596744552395</x:v>
      </x:c>
      <x:c r="D3" t="n">
        <x:f>Raw_Data!H3</x:f>
        <x:v>0.895</x:v>
      </x:c>
      <x:c r="E3" t="n">
        <x:f>Raw_Data!F3/Raw_Data!A3</x:f>
        <x:v>4.37037037037037</x:v>
      </x:c>
      <x:c r="F3" t="n">
        <x:f>Raw_Data!D3/Raw_Data!A3</x:f>
        <x:v>1.6666666666666665</x:v>
      </x:c>
      <x:c r="G3" t="n">
        <x:f>Raw_Data!E3/Raw_Data!A3</x:f>
        <x:v>17.037037037037035</x:v>
      </x:c>
      <x:c r="H3" t="n">
        <x:f>Raw_Data!G3/Raw_Data!A3</x:f>
        <x:v>15.244444444444442</x:v>
      </x:c>
      <x:c r="I3" t="str">
        <x:f>Raw_Data!I3</x:f>
        <x:v>γ≈1.00</x:v>
      </x:c>
      <x:c r="J3" t="str">
        <x:f>Raw_Data!J3</x:f>
        <x:v>Train</x:v>
      </x:c>
    </x:row>
    <x:row r="4">
      <x:c r="A4">
        <x:v>2</x:v>
      </x:c>
      <x:c r="B4" t="n">
        <x:f>Raw_Data!C4</x:f>
        <x:v>8.17</x:v>
      </x:c>
      <x:c r="C4" t="n">
        <x:f>Raw_Data!A4/Reference_Stats!$B$8</x:f>
        <x:v>0.6342872144919938</x:v>
      </x:c>
      <x:c r="D4" t="n">
        <x:f>Raw_Data!H4</x:f>
        <x:v>0.951</x:v>
      </x:c>
      <x:c r="E4" t="n">
        <x:f>Raw_Data!F4/Raw_Data!A4</x:f>
        <x:v>10.5</x:v>
      </x:c>
      <x:c r="F4" t="n">
        <x:f>Raw_Data!D4/Raw_Data!A4</x:f>
        <x:v>5</x:v>
      </x:c>
      <x:c r="G4" t="n">
        <x:f>Raw_Data!E4/Raw_Data!A4</x:f>
        <x:v>52.5</x:v>
      </x:c>
      <x:c r="H4" t="n">
        <x:f>Raw_Data!G4/Raw_Data!A4</x:f>
        <x:v>49.9375</x:v>
      </x:c>
      <x:c r="I4" t="str">
        <x:f>Raw_Data!I4</x:f>
        <x:v>γ≈1.00</x:v>
      </x:c>
      <x:c r="J4" t="str">
        <x:f>Raw_Data!J4</x:f>
        <x:v>Train</x:v>
      </x:c>
    </x:row>
    <x:row r="5">
      <x:c r="A5">
        <x:v>3</x:v>
      </x:c>
      <x:c r="B5" t="n">
        <x:f>Raw_Data!C5</x:f>
        <x:v>6.75</x:v>
      </x:c>
      <x:c r="C5" t="n">
        <x:f>Raw_Data!A5/Reference_Stats!$B$8</x:f>
        <x:v>0.6342872144919938</x:v>
      </x:c>
      <x:c r="D5" t="n">
        <x:f>Raw_Data!H5</x:f>
        <x:v>0.956</x:v>
      </x:c>
      <x:c r="E5" t="n">
        <x:f>Raw_Data!F5/Raw_Data!A5</x:f>
        <x:v>8.5</x:v>
      </x:c>
      <x:c r="F5" t="n">
        <x:f>Raw_Data!D5/Raw_Data!A5</x:f>
        <x:v>3.75</x:v>
      </x:c>
      <x:c r="G5" t="n">
        <x:f>Raw_Data!E5/Raw_Data!A5</x:f>
        <x:v>41.875</x:v>
      </x:c>
      <x:c r="H5" t="n">
        <x:f>Raw_Data!G5/Raw_Data!A5</x:f>
        <x:v>40.05</x:v>
      </x:c>
      <x:c r="I5" t="str">
        <x:f>Raw_Data!I5</x:f>
        <x:v>γ≈1.00</x:v>
      </x:c>
      <x:c r="J5" t="str">
        <x:f>Raw_Data!J5</x:f>
        <x:v>Train</x:v>
      </x:c>
    </x:row>
    <x:row r="6">
      <x:c r="A6">
        <x:v>4</x:v>
      </x:c>
      <x:c r="B6" t="n">
        <x:f>Raw_Data!C6</x:f>
        <x:v>6.12</x:v>
      </x:c>
      <x:c r="C6" t="n">
        <x:f>Raw_Data!A6/Reference_Stats!$B$8</x:f>
        <x:v>0.9514308217379907</x:v>
      </x:c>
      <x:c r="D6" t="n">
        <x:f>Raw_Data!H6</x:f>
        <x:v>0.957</x:v>
      </x:c>
      <x:c r="E6" t="n">
        <x:f>Raw_Data!F6/Raw_Data!A6</x:f>
        <x:v>8.208333333333334</x:v>
      </x:c>
      <x:c r="F6" t="n">
        <x:f>Raw_Data!D6/Raw_Data!A6</x:f>
        <x:v>3.75</x:v>
      </x:c>
      <x:c r="G6" t="n">
        <x:f>Raw_Data!E6/Raw_Data!A6</x:f>
        <x:v>37.083333333333336</x:v>
      </x:c>
      <x:c r="H6" t="n">
        <x:f>Raw_Data!G6/Raw_Data!A6</x:f>
        <x:v>35.483333333333334</x:v>
      </x:c>
      <x:c r="I6" t="str">
        <x:f>Raw_Data!I6</x:f>
        <x:v>γ≈1.00</x:v>
      </x:c>
      <x:c r="J6" t="str">
        <x:f>Raw_Data!J6</x:f>
        <x:v>Train</x:v>
      </x:c>
    </x:row>
    <x:row r="7">
      <x:c r="A7">
        <x:v>5</x:v>
      </x:c>
      <x:c r="B7" t="n">
        <x:f>Raw_Data!C7</x:f>
        <x:v>4.89</x:v>
      </x:c>
      <x:c r="C7" t="n">
        <x:f>Raw_Data!A7/Reference_Stats!$B$8</x:f>
        <x:v>0.6342872144919938</x:v>
      </x:c>
      <x:c r="D7" t="n">
        <x:f>Raw_Data!H7</x:f>
        <x:v>0.959</x:v>
      </x:c>
      <x:c r="E7" t="n">
        <x:f>Raw_Data!F7/Raw_Data!A7</x:f>
        <x:v>5.9375</x:v>
      </x:c>
      <x:c r="F7" t="n">
        <x:f>Raw_Data!D7/Raw_Data!A7</x:f>
        <x:v>2.5</x:v>
      </x:c>
      <x:c r="G7" t="n">
        <x:f>Raw_Data!E7/Raw_Data!A7</x:f>
        <x:v>27.5</x:v>
      </x:c>
      <x:c r="H7" t="n">
        <x:f>Raw_Data!G7/Raw_Data!A7</x:f>
        <x:v>26.362499999999997</x:v>
      </x:c>
      <x:c r="I7" t="str">
        <x:f>Raw_Data!I7</x:f>
        <x:v>γ≈1.00</x:v>
      </x:c>
      <x:c r="J7" t="str">
        <x:f>Raw_Data!J7</x:f>
        <x:v>Train</x:v>
      </x:c>
    </x:row>
    <x:row r="8">
      <x:c r="A8">
        <x:v>6</x:v>
      </x:c>
      <x:c r="B8" t="n">
        <x:f>Raw_Data!C8</x:f>
        <x:v>3.99</x:v>
      </x:c>
      <x:c r="C8" t="n">
        <x:f>Raw_Data!A8/Reference_Stats!$B$8</x:f>
        <x:v>0.6342872144919938</x:v>
      </x:c>
      <x:c r="D8" t="n">
        <x:f>Raw_Data!H8</x:f>
        <x:v>0.973</x:v>
      </x:c>
      <x:c r="E8" t="n">
        <x:f>Raw_Data!F8/Raw_Data!A8</x:f>
        <x:v>3.9374999999999996</x:v>
      </x:c>
      <x:c r="F8" t="n">
        <x:f>Raw_Data!D8/Raw_Data!A8</x:f>
        <x:v>1.5625</x:v>
      </x:c>
      <x:c r="G8" t="n">
        <x:f>Raw_Data!E8/Raw_Data!A8</x:f>
        <x:v>20</x:v>
      </x:c>
      <x:c r="H8" t="n">
        <x:f>Raw_Data!G8/Raw_Data!A8</x:f>
        <x:v>19.468749999999996</x:v>
      </x:c>
      <x:c r="I8" t="str">
        <x:f>Raw_Data!I8</x:f>
        <x:v>γ≈1.00</x:v>
      </x:c>
      <x:c r="J8" t="str">
        <x:f>Raw_Data!J8</x:f>
        <x:v>Train</x:v>
      </x:c>
    </x:row>
    <x:row r="9">
      <x:c r="A9">
        <x:v>7</x:v>
      </x:c>
      <x:c r="B9" t="n">
        <x:f>Raw_Data!C9</x:f>
        <x:v>5.68</x:v>
      </x:c>
      <x:c r="C9" t="n">
        <x:f>Raw_Data!A9/Reference_Stats!$B$8</x:f>
        <x:v>0.6342872144919938</x:v>
      </x:c>
      <x:c r="D9" t="n">
        <x:f>Raw_Data!H9</x:f>
        <x:v>0.974</x:v>
      </x:c>
      <x:c r="E9" t="n">
        <x:f>Raw_Data!F9/Raw_Data!A9</x:f>
        <x:v>6.5</x:v>
      </x:c>
      <x:c r="F9" t="n">
        <x:f>Raw_Data!D9/Raw_Data!A9</x:f>
        <x:v>2.8125</x:v>
      </x:c>
      <x:c r="G9" t="n">
        <x:f>Raw_Data!E9/Raw_Data!A9</x:f>
        <x:v>33.125</x:v>
      </x:c>
      <x:c r="H9" t="n">
        <x:f>Raw_Data!G9/Raw_Data!A9</x:f>
        <x:v>32.262499999999996</x:v>
      </x:c>
      <x:c r="I9" t="str">
        <x:f>Raw_Data!I9</x:f>
        <x:v>γ≈1.00</x:v>
      </x:c>
      <x:c r="J9" t="str">
        <x:f>Raw_Data!J9</x:f>
        <x:v>Test</x:v>
      </x:c>
    </x:row>
    <x:row r="10">
      <x:c r="A10">
        <x:v>8</x:v>
      </x:c>
      <x:c r="B10" t="n">
        <x:f>Raw_Data!C10</x:f>
        <x:v>6.1</x:v>
      </x:c>
      <x:c r="C10" t="n">
        <x:f>Raw_Data!A10/Reference_Stats!$B$8</x:f>
        <x:v>0.6342872144919938</x:v>
      </x:c>
      <x:c r="D10" t="n">
        <x:f>Raw_Data!H10</x:f>
        <x:v>0.974</x:v>
      </x:c>
      <x:c r="E10" t="n">
        <x:f>Raw_Data!F10/Raw_Data!A10</x:f>
        <x:v>7.375</x:v>
      </x:c>
      <x:c r="F10" t="n">
        <x:f>Raw_Data!D10/Raw_Data!A10</x:f>
        <x:v>3.125</x:v>
      </x:c>
      <x:c r="G10" t="n">
        <x:f>Raw_Data!E10/Raw_Data!A10</x:f>
        <x:v>36.25</x:v>
      </x:c>
      <x:c r="H10" t="n">
        <x:f>Raw_Data!G10/Raw_Data!A10</x:f>
        <x:v>35.318749999999994</x:v>
      </x:c>
      <x:c r="I10" t="str">
        <x:f>Raw_Data!I10</x:f>
        <x:v>γ≈1.00</x:v>
      </x:c>
      <x:c r="J10" t="str">
        <x:f>Raw_Data!J10</x:f>
        <x:v>Train</x:v>
      </x:c>
    </x:row>
    <x:row r="11">
      <x:c r="A11">
        <x:v>9</x:v>
      </x:c>
      <x:c r="B11" t="n">
        <x:f>Raw_Data!C11</x:f>
        <x:v>3.05</x:v>
      </x:c>
      <x:c r="C11" t="n">
        <x:f>Raw_Data!A11/Reference_Stats!$B$8</x:f>
        <x:v>1.7839327907587326</x:v>
      </x:c>
      <x:c r="D11" t="n">
        <x:f>Raw_Data!H11</x:f>
        <x:v>0.975</x:v>
      </x:c>
      <x:c r="E11" t="n">
        <x:f>Raw_Data!F11/Raw_Data!A11</x:f>
        <x:v>3.511111111111111</x:v>
      </x:c>
      <x:c r="F11" t="n">
        <x:f>Raw_Data!D11/Raw_Data!A11</x:f>
        <x:v>1.1111111111111112</x:v>
      </x:c>
      <x:c r="G11" t="n">
        <x:f>Raw_Data!E11/Raw_Data!A11</x:f>
        <x:v>12.222222222222221</x:v>
      </x:c>
      <x:c r="H11" t="n">
        <x:f>Raw_Data!G11/Raw_Data!A11</x:f>
        <x:v>11.913333333333334</x:v>
      </x:c>
      <x:c r="I11" t="str">
        <x:f>Raw_Data!I11</x:f>
        <x:v>γ≈1.00</x:v>
      </x:c>
      <x:c r="J11" t="str">
        <x:f>Raw_Data!J11</x:f>
        <x:v>Train</x:v>
      </x:c>
    </x:row>
    <x:row r="12">
      <x:c r="A12">
        <x:v>10</x:v>
      </x:c>
      <x:c r="B12" t="n">
        <x:f>Raw_Data!C12</x:f>
        <x:v>6.16</x:v>
      </x:c>
      <x:c r="C12" t="n">
        <x:f>Raw_Data!A12/Reference_Stats!$B$8</x:f>
        <x:v>0.6739301653977433</x:v>
      </x:c>
      <x:c r="D12" t="n">
        <x:f>Raw_Data!H12</x:f>
        <x:v>0.982</x:v>
      </x:c>
      <x:c r="E12" t="n">
        <x:f>Raw_Data!F12/Raw_Data!A12</x:f>
        <x:v>7.882352941176471</x:v>
      </x:c>
      <x:c r="F12" t="n">
        <x:f>Raw_Data!D12/Raw_Data!A12</x:f>
        <x:v>4.11764705882353</x:v>
      </x:c>
      <x:c r="G12" t="n">
        <x:f>Raw_Data!E12/Raw_Data!A12</x:f>
        <x:v>36.470588235294116</x:v>
      </x:c>
      <x:c r="H12" t="n">
        <x:f>Raw_Data!G12/Raw_Data!A12</x:f>
        <x:v>35.811764705882354</x:v>
      </x:c>
      <x:c r="I12" t="str">
        <x:f>Raw_Data!I12</x:f>
        <x:v>γ≈1.00</x:v>
      </x:c>
      <x:c r="J12" t="str">
        <x:f>Raw_Data!J12</x:f>
        <x:v>Test</x:v>
      </x:c>
    </x:row>
    <x:row r="13">
      <x:c r="A13">
        <x:v>11</x:v>
      </x:c>
      <x:c r="B13" t="n">
        <x:f>Raw_Data!C13</x:f>
        <x:v>8.99</x:v>
      </x:c>
      <x:c r="C13" t="n">
        <x:f>Raw_Data!A13/Reference_Stats!$B$8</x:f>
        <x:v>0.6342872144919938</x:v>
      </x:c>
      <x:c r="D13" t="n">
        <x:f>Raw_Data!H13</x:f>
        <x:v>0.986</x:v>
      </x:c>
      <x:c r="E13" t="n">
        <x:f>Raw_Data!F13/Raw_Data!A13</x:f>
        <x:v>11.625</x:v>
      </x:c>
      <x:c r="F13" t="n">
        <x:f>Raw_Data!D13/Raw_Data!A13</x:f>
        <x:v>5.625</x:v>
      </x:c>
      <x:c r="G13" t="n">
        <x:f>Raw_Data!E13/Raw_Data!A13</x:f>
        <x:v>56.25</x:v>
      </x:c>
      <x:c r="H13" t="n">
        <x:f>Raw_Data!G13/Raw_Data!A13</x:f>
        <x:v>55.45625</x:v>
      </x:c>
      <x:c r="I13" t="str">
        <x:f>Raw_Data!I13</x:f>
        <x:v>γ≈1.00</x:v>
      </x:c>
      <x:c r="J13" t="str">
        <x:f>Raw_Data!J13</x:f>
        <x:v>Train</x:v>
      </x:c>
    </x:row>
    <x:row r="14">
      <x:c r="A14">
        <x:v>12</x:v>
      </x:c>
      <x:c r="B14" t="n">
        <x:f>Raw_Data!C14</x:f>
        <x:v>4.2</x:v>
      </x:c>
      <x:c r="C14" t="n">
        <x:f>Raw_Data!A14/Reference_Stats!$B$8</x:f>
        <x:v>1.3478603307954866</x:v>
      </x:c>
      <x:c r="D14" t="n">
        <x:f>Raw_Data!H14</x:f>
        <x:v>0.991</x:v>
      </x:c>
      <x:c r="E14" t="n">
        <x:f>Raw_Data!F14/Raw_Data!A14</x:f>
        <x:v>5.088235294117648</x:v>
      </x:c>
      <x:c r="F14" t="n">
        <x:f>Raw_Data!D14/Raw_Data!A14</x:f>
        <x:v>2.058823529411765</x:v>
      </x:c>
      <x:c r="G14" t="n">
        <x:f>Raw_Data!E14/Raw_Data!A14</x:f>
        <x:v>20.58823529411765</x:v>
      </x:c>
      <x:c r="H14" t="n">
        <x:f>Raw_Data!G14/Raw_Data!A14</x:f>
        <x:v>20.39705882352941</x:v>
      </x:c>
      <x:c r="I14" t="str">
        <x:f>Raw_Data!I14</x:f>
        <x:v>γ≈1.00</x:v>
      </x:c>
      <x:c r="J14" t="str">
        <x:f>Raw_Data!J14</x:f>
        <x:v>Train</x:v>
      </x:c>
    </x:row>
    <x:row r="15">
      <x:c r="A15">
        <x:v>13</x:v>
      </x:c>
      <x:c r="B15" t="n">
        <x:f>Raw_Data!C15</x:f>
        <x:v>7.45</x:v>
      </x:c>
      <x:c r="C15" t="n">
        <x:f>Raw_Data!A15/Reference_Stats!$B$8</x:f>
        <x:v>0.911787870832241</x:v>
      </x:c>
      <x:c r="D15" t="n">
        <x:f>Raw_Data!H15</x:f>
        <x:v>0.995</x:v>
      </x:c>
      <x:c r="E15" t="n">
        <x:f>Raw_Data!F15/Raw_Data!A15</x:f>
        <x:v>10.304347826086957</x:v>
      </x:c>
      <x:c r="F15" t="n">
        <x:f>Raw_Data!D15/Raw_Data!A15</x:f>
        <x:v>4.782608695652175</x:v>
      </x:c>
      <x:c r="G15" t="n">
        <x:f>Raw_Data!E15/Raw_Data!A15</x:f>
        <x:v>45.21739130434783</x:v>
      </x:c>
      <x:c r="H15" t="n">
        <x:f>Raw_Data!G15/Raw_Data!A15</x:f>
        <x:v>45.013043478260876</x:v>
      </x:c>
      <x:c r="I15" t="str">
        <x:f>Raw_Data!I15</x:f>
        <x:v>γ≈1.00</x:v>
      </x:c>
      <x:c r="J15" t="str">
        <x:f>Raw_Data!J15</x:f>
        <x:v>Train</x:v>
      </x:c>
    </x:row>
    <x:row r="16">
      <x:c r="A16">
        <x:v>14</x:v>
      </x:c>
      <x:c r="B16" t="n">
        <x:f>Raw_Data!C16</x:f>
        <x:v>4.99</x:v>
      </x:c>
      <x:c r="C16" t="n">
        <x:f>Raw_Data!A16/Reference_Stats!$B$8</x:f>
        <x:v>0.9910737726437403</x:v>
      </x:c>
      <x:c r="D16" t="n">
        <x:f>Raw_Data!H16</x:f>
        <x:v>0.997</x:v>
      </x:c>
      <x:c r="E16" t="n">
        <x:f>Raw_Data!F16/Raw_Data!A16</x:f>
        <x:v>6.44</x:v>
      </x:c>
      <x:c r="F16" t="n">
        <x:f>Raw_Data!D16/Raw_Data!A16</x:f>
        <x:v>2.8</x:v>
      </x:c>
      <x:c r="G16" t="n">
        <x:f>Raw_Data!E16/Raw_Data!A16</x:f>
        <x:v>27.2</x:v>
      </x:c>
      <x:c r="H16" t="n">
        <x:f>Raw_Data!G16/Raw_Data!A16</x:f>
        <x:v>27.124000000000002</x:v>
      </x:c>
      <x:c r="I16" t="str">
        <x:f>Raw_Data!I16</x:f>
        <x:v>γ≈1.00</x:v>
      </x:c>
      <x:c r="J16" t="str">
        <x:f>Raw_Data!J16</x:f>
        <x:v>Test</x:v>
      </x:c>
    </x:row>
    <x:row r="17">
      <x:c r="A17">
        <x:v>15</x:v>
      </x:c>
      <x:c r="B17" t="n">
        <x:f>Raw_Data!C17</x:f>
        <x:v>3.4</x:v>
      </x:c>
      <x:c r="C17" t="n">
        <x:f>Raw_Data!A17/Reference_Stats!$B$8</x:f>
        <x:v>1.3478603307954866</x:v>
      </x:c>
      <x:c r="D17" t="n">
        <x:f>Raw_Data!H17</x:f>
        <x:v>0.998</x:v>
      </x:c>
      <x:c r="E17" t="n">
        <x:f>Raw_Data!F17/Raw_Data!A17</x:f>
        <x:v>4.264705882352941</x:v>
      </x:c>
      <x:c r="F17" t="n">
        <x:f>Raw_Data!D17/Raw_Data!A17</x:f>
        <x:v>1.4705882352941178</x:v>
      </x:c>
      <x:c r="G17" t="n">
        <x:f>Raw_Data!E17/Raw_Data!A17</x:f>
        <x:v>14.558823529411764</x:v>
      </x:c>
      <x:c r="H17" t="n">
        <x:f>Raw_Data!G17/Raw_Data!A17</x:f>
        <x:v>14.523529411764708</x:v>
      </x:c>
      <x:c r="I17" t="str">
        <x:f>Raw_Data!I17</x:f>
        <x:v>γ≈1.00</x:v>
      </x:c>
      <x:c r="J17" t="str">
        <x:f>Raw_Data!J17</x:f>
        <x:v>Train</x:v>
      </x:c>
    </x:row>
    <x:row r="18">
      <x:c r="A18">
        <x:v>16</x:v>
      </x:c>
      <x:c r="B18" t="n">
        <x:f>Raw_Data!C18</x:f>
        <x:v>5.42</x:v>
      </x:c>
      <x:c r="C18" t="n">
        <x:f>Raw_Data!A18/Reference_Stats!$B$8</x:f>
        <x:v>0.9910737726437403</x:v>
      </x:c>
      <x:c r="D18" t="n">
        <x:f>Raw_Data!H18</x:f>
        <x:v>0.998</x:v>
      </x:c>
      <x:c r="E18" t="n">
        <x:f>Raw_Data!F18/Raw_Data!A18</x:f>
        <x:v>7.2</x:v>
      </x:c>
      <x:c r="F18" t="n">
        <x:f>Raw_Data!D18/Raw_Data!A18</x:f>
        <x:v>3.2</x:v>
      </x:c>
      <x:c r="G18" t="n">
        <x:f>Raw_Data!E18/Raw_Data!A18</x:f>
        <x:v>30.4</x:v>
      </x:c>
      <x:c r="H18" t="n">
        <x:f>Raw_Data!G18/Raw_Data!A18</x:f>
        <x:v>30.339999999999996</x:v>
      </x:c>
      <x:c r="I18" t="str">
        <x:f>Raw_Data!I18</x:f>
        <x:v>γ≈1.00</x:v>
      </x:c>
      <x:c r="J18" t="str">
        <x:f>Raw_Data!J18</x:f>
        <x:v>Train</x:v>
      </x:c>
    </x:row>
    <x:row r="19">
      <x:c r="A19">
        <x:v>17</x:v>
      </x:c>
      <x:c r="B19" t="n">
        <x:f>Raw_Data!C19</x:f>
        <x:v>8.17</x:v>
      </x:c>
      <x:c r="C19" t="n">
        <x:f>Raw_Data!A19/Reference_Stats!$B$8</x:f>
        <x:v>0.911787870832241</x:v>
      </x:c>
      <x:c r="D19" t="n">
        <x:f>Raw_Data!H19</x:f>
        <x:v>0.998</x:v>
      </x:c>
      <x:c r="E19" t="n">
        <x:f>Raw_Data!F19/Raw_Data!A19</x:f>
        <x:v>10.73913043478261</x:v>
      </x:c>
      <x:c r="F19" t="n">
        <x:f>Raw_Data!D19/Raw_Data!A19</x:f>
        <x:v>5.217391304347826</x:v>
      </x:c>
      <x:c r="G19" t="n">
        <x:f>Raw_Data!E19/Raw_Data!A19</x:f>
        <x:v>50.00000000000001</x:v>
      </x:c>
      <x:c r="H19" t="n">
        <x:f>Raw_Data!G19/Raw_Data!A19</x:f>
        <x:v>49.92173913043478</x:v>
      </x:c>
      <x:c r="I19" t="str">
        <x:f>Raw_Data!I19</x:f>
        <x:v>γ≈1.00</x:v>
      </x:c>
      <x:c r="J19" t="str">
        <x:f>Raw_Data!J19</x:f>
        <x:v>Train</x:v>
      </x:c>
    </x:row>
    <x:row r="20">
      <x:c r="A20">
        <x:v>18</x:v>
      </x:c>
      <x:c r="B20" t="n">
        <x:f>Raw_Data!C20</x:f>
        <x:v>3.69</x:v>
      </x:c>
      <x:c r="C20" t="n">
        <x:f>Raw_Data!A20/Reference_Stats!$B$8</x:f>
        <x:v>0.9910737726437403</x:v>
      </x:c>
      <x:c r="D20" t="n">
        <x:f>Raw_Data!H20</x:f>
        <x:v>0.999</x:v>
      </x:c>
      <x:c r="E20" t="n">
        <x:f>Raw_Data!F20/Raw_Data!A20</x:f>
        <x:v>4.5600000000000005</x:v>
      </x:c>
      <x:c r="F20" t="n">
        <x:f>Raw_Data!D20/Raw_Data!A20</x:f>
        <x:v>1.6</x:v>
      </x:c>
      <x:c r="G20" t="n">
        <x:f>Raw_Data!E20/Raw_Data!A20</x:f>
        <x:v>17.2</x:v>
      </x:c>
      <x:c r="H20" t="n">
        <x:f>Raw_Data!G20/Raw_Data!A20</x:f>
        <x:v>17.18</x:v>
      </x:c>
      <x:c r="I20" t="str">
        <x:f>Raw_Data!I20</x:f>
        <x:v>γ≈1.00</x:v>
      </x:c>
      <x:c r="J20" t="str">
        <x:f>Raw_Data!J20</x:f>
        <x:v>Test</x:v>
      </x:c>
    </x:row>
    <x:row r="21">
      <x:c r="A21">
        <x:v>19</x:v>
      </x:c>
      <x:c r="B21" t="n">
        <x:f>Raw_Data!C21</x:f>
        <x:v>4.52</x:v>
      </x:c>
      <x:c r="C21" t="n">
        <x:f>Raw_Data!A21/Reference_Stats!$B$8</x:f>
        <x:v>0.9910737726437403</x:v>
      </x:c>
      <x:c r="D21" t="n">
        <x:f>Raw_Data!H21</x:f>
        <x:v>0.999</x:v>
      </x:c>
      <x:c r="E21" t="n">
        <x:f>Raw_Data!F21/Raw_Data!A21</x:f>
        <x:v>5.8</x:v>
      </x:c>
      <x:c r="F21" t="n">
        <x:f>Raw_Data!D21/Raw_Data!A21</x:f>
        <x:v>2.4</x:v>
      </x:c>
      <x:c r="G21" t="n">
        <x:f>Raw_Data!E21/Raw_Data!A21</x:f>
        <x:v>23.6</x:v>
      </x:c>
      <x:c r="H21" t="n">
        <x:f>Raw_Data!G21/Raw_Data!A21</x:f>
        <x:v>23.576</x:v>
      </x:c>
      <x:c r="I21" t="str">
        <x:f>Raw_Data!I21</x:f>
        <x:v>γ≈1.00</x:v>
      </x:c>
      <x:c r="J21" t="str">
        <x:f>Raw_Data!J21</x:f>
        <x:v>Train</x:v>
      </x:c>
    </x:row>
    <x:row r="22">
      <x:c r="A22">
        <x:v>20</x:v>
      </x:c>
      <x:c r="B22" t="n">
        <x:f>Raw_Data!C22</x:f>
        <x:v>9.15</x:v>
      </x:c>
      <x:c r="C22" t="n">
        <x:f>Raw_Data!A22/Reference_Stats!$B$8</x:f>
        <x:v>0.911787870832241</x:v>
      </x:c>
      <x:c r="D22" t="n">
        <x:f>Raw_Data!H22</x:f>
        <x:v>0.999</x:v>
      </x:c>
      <x:c r="E22" t="n">
        <x:f>Raw_Data!F22/Raw_Data!A22</x:f>
        <x:v>11.73913043478261</x:v>
      </x:c>
      <x:c r="F22" t="n">
        <x:f>Raw_Data!D22/Raw_Data!A22</x:f>
        <x:v>6.086956521739131</x:v>
      </x:c>
      <x:c r="G22" t="n">
        <x:f>Raw_Data!E22/Raw_Data!A22</x:f>
        <x:v>56.52173913043479</x:v>
      </x:c>
      <x:c r="H22" t="n">
        <x:f>Raw_Data!G22/Raw_Data!A22</x:f>
        <x:v>56.46521739130436</x:v>
      </x:c>
      <x:c r="I22" t="str">
        <x:f>Raw_Data!I22</x:f>
        <x:v>γ≈1.00</x:v>
      </x:c>
      <x:c r="J22" t="str">
        <x:f>Raw_Data!J22</x:f>
        <x:v>Test</x:v>
      </x:c>
    </x:row>
    <x:row r="23">
      <x:c r="A23">
        <x:v>21</x:v>
      </x:c>
      <x:c r="B23" t="n">
        <x:f>Raw_Data!C23</x:f>
        <x:v>7.28</x:v>
      </x:c>
      <x:c r="C23" t="n">
        <x:f>Raw_Data!A23/Reference_Stats!$B$8</x:f>
        <x:v>0.9514308217379907</x:v>
      </x:c>
      <x:c r="D23" t="n">
        <x:f>Raw_Data!H23</x:f>
        <x:v>1</x:v>
      </x:c>
      <x:c r="E23" t="n">
        <x:f>Raw_Data!F23/Raw_Data!A23</x:f>
        <x:v>9.375</x:v>
      </x:c>
      <x:c r="F23" t="n">
        <x:f>Raw_Data!D23/Raw_Data!A23</x:f>
        <x:v>4.166666666666667</x:v>
      </x:c>
      <x:c r="G23" t="n">
        <x:f>Raw_Data!E23/Raw_Data!A23</x:f>
        <x:v>43.75</x:v>
      </x:c>
      <x:c r="H23" t="n">
        <x:f>Raw_Data!G23/Raw_Data!A23</x:f>
        <x:v>43.76666666666667</x:v>
      </x:c>
      <x:c r="I23" t="str">
        <x:f>Raw_Data!I23</x:f>
        <x:v>γ≈1.00</x:v>
      </x:c>
      <x:c r="J23" t="str">
        <x:f>Raw_Data!J23</x:f>
        <x:v>Train</x:v>
      </x:c>
    </x:row>
    <x:row r="24">
      <x:c r="A24">
        <x:v>22</x:v>
      </x:c>
      <x:c r="B24" t="n">
        <x:f>Raw_Data!C24</x:f>
        <x:v>4.49</x:v>
      </x:c>
      <x:c r="C24" t="n">
        <x:f>Raw_Data!A24/Reference_Stats!$B$8</x:f>
        <x:v>0.9514308217379907</x:v>
      </x:c>
      <x:c r="D24" t="n">
        <x:f>Raw_Data!H24</x:f>
        <x:v>1.001</x:v>
      </x:c>
      <x:c r="E24" t="n">
        <x:f>Raw_Data!F24/Raw_Data!A24</x:f>
        <x:v>5.708333333333333</x:v>
      </x:c>
      <x:c r="F24" t="n">
        <x:f>Raw_Data!D24/Raw_Data!A24</x:f>
        <x:v>2.0833333333333335</x:v>
      </x:c>
      <x:c r="G24" t="n">
        <x:f>Raw_Data!E24/Raw_Data!A24</x:f>
        <x:v>23.333333333333336</x:v>
      </x:c>
      <x:c r="H24" t="n">
        <x:f>Raw_Data!G24/Raw_Data!A24</x:f>
        <x:v>23.35</x:v>
      </x:c>
      <x:c r="I24" t="str">
        <x:f>Raw_Data!I24</x:f>
        <x:v>γ≈1.00</x:v>
      </x:c>
      <x:c r="J24" t="str">
        <x:f>Raw_Data!J24</x:f>
        <x:v>Test</x:v>
      </x:c>
    </x:row>
    <x:row r="25">
      <x:c r="A25">
        <x:v>23</x:v>
      </x:c>
      <x:c r="B25" t="n">
        <x:f>Raw_Data!C25</x:f>
        <x:v>8.51</x:v>
      </x:c>
      <x:c r="C25" t="n">
        <x:f>Raw_Data!A25/Reference_Stats!$B$8</x:f>
        <x:v>0.911787870832241</x:v>
      </x:c>
      <x:c r="D25" t="n">
        <x:f>Raw_Data!H25</x:f>
        <x:v>1.002</x:v>
      </x:c>
      <x:c r="E25" t="n">
        <x:f>Raw_Data!F25/Raw_Data!A25</x:f>
        <x:v>11.304347826086957</x:v>
      </x:c>
      <x:c r="F25" t="n">
        <x:f>Raw_Data!D25/Raw_Data!A25</x:f>
        <x:v>5.6521739130434785</x:v>
      </x:c>
      <x:c r="G25" t="n">
        <x:f>Raw_Data!E25/Raw_Data!A25</x:f>
        <x:v>52.173913043478265</x:v>
      </x:c>
      <x:c r="H25" t="n">
        <x:f>Raw_Data!G25/Raw_Data!A25</x:f>
        <x:v>52.278260869565216</x:v>
      </x:c>
      <x:c r="I25" t="str">
        <x:f>Raw_Data!I25</x:f>
        <x:v>γ≈1.00</x:v>
      </x:c>
      <x:c r="J25" t="str">
        <x:f>Raw_Data!J25</x:f>
        <x:v>Test</x:v>
      </x:c>
    </x:row>
    <x:row r="26">
      <x:c r="A26">
        <x:v>24</x:v>
      </x:c>
      <x:c r="B26" t="n">
        <x:f>Raw_Data!C26</x:f>
        <x:v>3.83</x:v>
      </x:c>
      <x:c r="C26" t="n">
        <x:f>Raw_Data!A26/Reference_Stats!$B$8</x:f>
        <x:v>1.3478603307954866</x:v>
      </x:c>
      <x:c r="D26" t="n">
        <x:f>Raw_Data!H26</x:f>
        <x:v>1.004</x:v>
      </x:c>
      <x:c r="E26" t="n">
        <x:f>Raw_Data!F26/Raw_Data!A26</x:f>
        <x:v>4.5588235294117645</x:v>
      </x:c>
      <x:c r="F26" t="n">
        <x:f>Raw_Data!D26/Raw_Data!A26</x:f>
        <x:v>1.7647058823529411</x:v>
      </x:c>
      <x:c r="G26" t="n">
        <x:f>Raw_Data!E26/Raw_Data!A26</x:f>
        <x:v>17.647058823529413</x:v>
      </x:c>
      <x:c r="H26" t="n">
        <x:f>Raw_Data!G26/Raw_Data!A26</x:f>
        <x:v>17.708823529411767</x:v>
      </x:c>
      <x:c r="I26" t="str">
        <x:f>Raw_Data!I26</x:f>
        <x:v>γ≈1.00</x:v>
      </x:c>
      <x:c r="J26" t="str">
        <x:f>Raw_Data!J26</x:f>
        <x:v>Train</x:v>
      </x:c>
    </x:row>
    <x:row r="27">
      <x:c r="A27">
        <x:v>25</x:v>
      </x:c>
      <x:c r="B27" t="n">
        <x:f>Raw_Data!C27</x:f>
        <x:v>6.95</x:v>
      </x:c>
      <x:c r="C27" t="n">
        <x:f>Raw_Data!A27/Reference_Stats!$B$8</x:f>
        <x:v>0.911787870832241</x:v>
      </x:c>
      <x:c r="D27" t="n">
        <x:f>Raw_Data!H27</x:f>
        <x:v>1.004</x:v>
      </x:c>
      <x:c r="E27" t="n">
        <x:f>Raw_Data!F27/Raw_Data!A27</x:f>
        <x:v>9.434782608695652</x:v>
      </x:c>
      <x:c r="F27" t="n">
        <x:f>Raw_Data!D27/Raw_Data!A27</x:f>
        <x:v>4.347826086956522</x:v>
      </x:c>
      <x:c r="G27" t="n">
        <x:f>Raw_Data!E27/Raw_Data!A27</x:f>
        <x:v>41.30434782608696</x:v>
      </x:c>
      <x:c r="H27" t="n">
        <x:f>Raw_Data!G27/Raw_Data!A27</x:f>
        <x:v>41.478260869565226</x:v>
      </x:c>
      <x:c r="I27" t="str">
        <x:f>Raw_Data!I27</x:f>
        <x:v>γ≈1.00</x:v>
      </x:c>
      <x:c r="J27" t="str">
        <x:f>Raw_Data!J27</x:f>
        <x:v>Train</x:v>
      </x:c>
    </x:row>
    <x:row r="28">
      <x:c r="A28">
        <x:v>26</x:v>
      </x:c>
      <x:c r="B28" t="n">
        <x:f>Raw_Data!C28</x:f>
        <x:v>4.58</x:v>
      </x:c>
      <x:c r="C28" t="n">
        <x:f>Raw_Data!A28/Reference_Stats!$B$8</x:f>
        <x:v>1.3478603307954866</x:v>
      </x:c>
      <x:c r="D28" t="n">
        <x:f>Raw_Data!H28</x:f>
        <x:v>1.005</x:v>
      </x:c>
      <x:c r="E28" t="n">
        <x:f>Raw_Data!F28/Raw_Data!A28</x:f>
        <x:v>5.4411764705882355</x:v>
      </x:c>
      <x:c r="F28" t="n">
        <x:f>Raw_Data!D28/Raw_Data!A28</x:f>
        <x:v>2.3529411764705883</x:v>
      </x:c>
      <x:c r="G28" t="n">
        <x:f>Raw_Data!E28/Raw_Data!A28</x:f>
        <x:v>22.941176470588236</x:v>
      </x:c>
      <x:c r="H28" t="n">
        <x:f>Raw_Data!G28/Raw_Data!A28</x:f>
        <x:v>23.05588235294118</x:v>
      </x:c>
      <x:c r="I28" t="str">
        <x:f>Raw_Data!I28</x:f>
        <x:v>γ≈1.00</x:v>
      </x:c>
      <x:c r="J28" t="str">
        <x:f>Raw_Data!J28</x:f>
        <x:v>Train</x:v>
      </x:c>
    </x:row>
    <x:row r="29">
      <x:c r="A29">
        <x:v>27</x:v>
      </x:c>
      <x:c r="B29" t="n">
        <x:f>Raw_Data!C29</x:f>
        <x:v>2.8</x:v>
      </x:c>
      <x:c r="C29" t="n">
        <x:f>Raw_Data!A29/Reference_Stats!$B$8</x:f>
        <x:v>1.110002625360989</x:v>
      </x:c>
      <x:c r="D29" t="n">
        <x:f>Raw_Data!H29</x:f>
        <x:v>1.009</x:v>
      </x:c>
      <x:c r="E29" t="n">
        <x:f>Raw_Data!F29/Raw_Data!A29</x:f>
        <x:v>3.3571428571428577</x:v>
      </x:c>
      <x:c r="F29" t="n">
        <x:f>Raw_Data!D29/Raw_Data!A29</x:f>
        <x:v>1.0714285714285714</x:v>
      </x:c>
      <x:c r="G29" t="n">
        <x:f>Raw_Data!E29/Raw_Data!A29</x:f>
        <x:v>10.178571428571429</x:v>
      </x:c>
      <x:c r="H29" t="n">
        <x:f>Raw_Data!G29/Raw_Data!A29</x:f>
        <x:v>10.267857142857144</x:v>
      </x:c>
      <x:c r="I29" t="str">
        <x:f>Raw_Data!I29</x:f>
        <x:v>γ≈1.00</x:v>
      </x:c>
      <x:c r="J29" t="str">
        <x:f>Raw_Data!J29</x:f>
        <x:v>Train</x:v>
      </x:c>
    </x:row>
    <x:row r="30">
      <x:c r="A30">
        <x:v>28</x:v>
      </x:c>
      <x:c r="B30" t="n">
        <x:f>Raw_Data!C30</x:f>
        <x:v>3.35</x:v>
      </x:c>
      <x:c r="C30" t="n">
        <x:f>Raw_Data!A30/Reference_Stats!$B$8</x:f>
        <x:v>1.7839327907587326</x:v>
      </x:c>
      <x:c r="D30" t="n">
        <x:f>Raw_Data!H30</x:f>
        <x:v>1.013</x:v>
      </x:c>
      <x:c r="E30" t="n">
        <x:f>Raw_Data!F30/Raw_Data!A30</x:f>
        <x:v>3.8666666666666663</x:v>
      </x:c>
      <x:c r="F30" t="n">
        <x:f>Raw_Data!D30/Raw_Data!A30</x:f>
        <x:v>1.3333333333333333</x:v>
      </x:c>
      <x:c r="G30" t="n">
        <x:f>Raw_Data!E30/Raw_Data!A30</x:f>
        <x:v>14</x:v>
      </x:c>
      <x:c r="H30" t="n">
        <x:f>Raw_Data!G30/Raw_Data!A30</x:f>
        <x:v>14.18888888888889</x:v>
      </x:c>
      <x:c r="I30" t="str">
        <x:f>Raw_Data!I30</x:f>
        <x:v>γ≈1.00</x:v>
      </x:c>
      <x:c r="J30" t="str">
        <x:f>Raw_Data!J30</x:f>
        <x:v>Test</x:v>
      </x:c>
    </x:row>
    <x:row r="31">
      <x:c r="A31">
        <x:v>29</x:v>
      </x:c>
      <x:c r="B31" t="n">
        <x:f>Raw_Data!C31</x:f>
        <x:v>6.21</x:v>
      </x:c>
      <x:c r="C31" t="n">
        <x:f>Raw_Data!A31/Reference_Stats!$B$8</x:f>
        <x:v>1.1892885271724882</x:v>
      </x:c>
      <x:c r="D31" t="n">
        <x:f>Raw_Data!H31</x:f>
        <x:v>1.019</x:v>
      </x:c>
      <x:c r="E31" t="n">
        <x:f>Raw_Data!F31/Raw_Data!A31</x:f>
        <x:v>7.6000000000000005</x:v>
      </x:c>
      <x:c r="F31" t="n">
        <x:f>Raw_Data!D31/Raw_Data!A31</x:f>
        <x:v>3.3333333333333335</x:v>
      </x:c>
      <x:c r="G31" t="n">
        <x:f>Raw_Data!E31/Raw_Data!A31</x:f>
        <x:v>33.333333333333336</x:v>
      </x:c>
      <x:c r="H31" t="n">
        <x:f>Raw_Data!G31/Raw_Data!A31</x:f>
        <x:v>33.96333333333333</x:v>
      </x:c>
      <x:c r="I31" t="str">
        <x:f>Raw_Data!I31</x:f>
        <x:v>γ≈1.00</x:v>
      </x:c>
      <x:c r="J31" t="str">
        <x:f>Raw_Data!J31</x:f>
        <x:v>Train</x:v>
      </x:c>
    </x:row>
    <x:row r="32">
      <x:c r="A32">
        <x:v>30</x:v>
      </x:c>
      <x:c r="B32" t="n">
        <x:f>Raw_Data!C32</x:f>
        <x:v>3.22</x:v>
      </x:c>
      <x:c r="C32" t="n">
        <x:f>Raw_Data!A32/Reference_Stats!$B$8</x:f>
        <x:v>1.110002625360989</x:v>
      </x:c>
      <x:c r="D32" t="n">
        <x:f>Raw_Data!H32</x:f>
        <x:v>1.022</x:v>
      </x:c>
      <x:c r="E32" t="n">
        <x:f>Raw_Data!F32/Raw_Data!A32</x:f>
        <x:v>4.0357142857142865</x:v>
      </x:c>
      <x:c r="F32" t="n">
        <x:f>Raw_Data!D32/Raw_Data!A32</x:f>
        <x:v>1.4285714285714286</x:v>
      </x:c>
      <x:c r="G32" t="n">
        <x:f>Raw_Data!E32/Raw_Data!A32</x:f>
        <x:v>13.214285714285715</x:v>
      </x:c>
      <x:c r="H32" t="n">
        <x:f>Raw_Data!G32/Raw_Data!A32</x:f>
        <x:v>13.507142857142858</x:v>
      </x:c>
      <x:c r="I32" t="str">
        <x:f>Raw_Data!I32</x:f>
        <x:v>γ≈1.00</x:v>
      </x:c>
      <x:c r="J32" t="str">
        <x:f>Raw_Data!J32</x:f>
        <x:v>Train</x:v>
      </x:c>
    </x:row>
    <x:row r="33">
      <x:c r="A33">
        <x:v>31</x:v>
      </x:c>
      <x:c r="B33" t="n">
        <x:f>Raw_Data!C33</x:f>
        <x:v>4.2</x:v>
      </x:c>
      <x:c r="C33" t="n">
        <x:f>Raw_Data!A33/Reference_Stats!$B$8</x:f>
        <x:v>0.6342872144919938</x:v>
      </x:c>
      <x:c r="D33" t="n">
        <x:f>Raw_Data!H33</x:f>
        <x:v>1.025</x:v>
      </x:c>
      <x:c r="E33" t="n">
        <x:f>Raw_Data!F33/Raw_Data!A33</x:f>
        <x:v>5.062499999999999</x:v>
      </x:c>
      <x:c r="F33" t="n">
        <x:f>Raw_Data!D33/Raw_Data!A33</x:f>
        <x:v>1.875</x:v>
      </x:c>
      <x:c r="G33" t="n">
        <x:f>Raw_Data!E33/Raw_Data!A33</x:f>
        <x:v>20.625</x:v>
      </x:c>
      <x:c r="H33" t="n">
        <x:f>Raw_Data!G33/Raw_Data!A33</x:f>
        <x:v>21.150000000000002</x:v>
      </x:c>
      <x:c r="I33" t="str">
        <x:f>Raw_Data!I33</x:f>
        <x:v>γ≈1.00</x:v>
      </x:c>
      <x:c r="J33" t="str">
        <x:f>Raw_Data!J33</x:f>
        <x:v>Train</x:v>
      </x:c>
    </x:row>
    <x:row r="34">
      <x:c r="A34">
        <x:v>32</x:v>
      </x:c>
      <x:c r="B34" t="n">
        <x:f>Raw_Data!C34</x:f>
        <x:v>7.63</x:v>
      </x:c>
      <x:c r="C34" t="n">
        <x:f>Raw_Data!A34/Reference_Stats!$B$8</x:f>
        <x:v>0.6342872144919938</x:v>
      </x:c>
      <x:c r="D34" t="n">
        <x:f>Raw_Data!H34</x:f>
        <x:v>1.028</x:v>
      </x:c>
      <x:c r="E34" t="n">
        <x:f>Raw_Data!F34/Raw_Data!A34</x:f>
        <x:v>9.812499999999998</x:v>
      </x:c>
      <x:c r="F34" t="n">
        <x:f>Raw_Data!D34/Raw_Data!A34</x:f>
        <x:v>4.375</x:v>
      </x:c>
      <x:c r="G34" t="n">
        <x:f>Raw_Data!E34/Raw_Data!A34</x:f>
        <x:v>45</x:v>
      </x:c>
      <x:c r="H34" t="n">
        <x:f>Raw_Data!G34/Raw_Data!A34</x:f>
        <x:v>46.25625</x:v>
      </x:c>
      <x:c r="I34" t="str">
        <x:f>Raw_Data!I34</x:f>
        <x:v>γ≈1.00</x:v>
      </x:c>
      <x:c r="J34" t="str">
        <x:f>Raw_Data!J34</x:f>
        <x:v>Train</x:v>
      </x:c>
    </x:row>
    <x:row r="35">
      <x:c r="A35">
        <x:v>33</x:v>
      </x:c>
      <x:c r="B35" t="n">
        <x:f>Raw_Data!C35</x:f>
        <x:v>5.67</x:v>
      </x:c>
      <x:c r="C35" t="n">
        <x:f>Raw_Data!A35/Reference_Stats!$B$8</x:f>
        <x:v>0.9514308217379907</x:v>
      </x:c>
      <x:c r="D35" t="n">
        <x:f>Raw_Data!H35</x:f>
        <x:v>1.044</x:v>
      </x:c>
      <x:c r="E35" t="n">
        <x:f>Raw_Data!F35/Raw_Data!A35</x:f>
        <x:v>7.083333333333334</x:v>
      </x:c>
      <x:c r="F35" t="n">
        <x:f>Raw_Data!D35/Raw_Data!A35</x:f>
        <x:v>2.916666666666667</x:v>
      </x:c>
      <x:c r="G35" t="n">
        <x:f>Raw_Data!E35/Raw_Data!A35</x:f>
        <x:v>30.833333333333336</x:v>
      </x:c>
      <x:c r="H35" t="n">
        <x:f>Raw_Data!G35/Raw_Data!A35</x:f>
        <x:v>32.19583333333333</x:v>
      </x:c>
      <x:c r="I35" t="str">
        <x:f>Raw_Data!I35</x:f>
        <x:v>γ≈1.00</x:v>
      </x:c>
      <x:c r="J35" t="str">
        <x:f>Raw_Data!J35</x:f>
        <x:v>Test</x:v>
      </x:c>
    </x:row>
    <x:row r="36">
      <x:c r="A36">
        <x:v>34</x:v>
      </x:c>
      <x:c r="B36" t="n">
        <x:f>Raw_Data!C36</x:f>
        <x:v>5.27</x:v>
      </x:c>
      <x:c r="C36" t="n">
        <x:f>Raw_Data!A36/Reference_Stats!$B$8</x:f>
        <x:v>1.2685744289839875</x:v>
      </x:c>
      <x:c r="D36" t="n">
        <x:f>Raw_Data!H36</x:f>
        <x:v>1.049</x:v>
      </x:c>
      <x:c r="E36" t="n">
        <x:f>Raw_Data!F36/Raw_Data!A36</x:f>
        <x:v>6.4375</x:v>
      </x:c>
      <x:c r="F36" t="n">
        <x:f>Raw_Data!D36/Raw_Data!A36</x:f>
        <x:v>2.8125</x:v>
      </x:c>
      <x:c r="G36" t="n">
        <x:f>Raw_Data!E36/Raw_Data!A36</x:f>
        <x:v>26.5625</x:v>
      </x:c>
      <x:c r="H36" t="n">
        <x:f>Raw_Data!G36/Raw_Data!A36</x:f>
        <x:v>27.85625</x:v>
      </x:c>
      <x:c r="I36" t="str">
        <x:f>Raw_Data!I36</x:f>
        <x:v>γ≈1.00</x:v>
      </x:c>
      <x:c r="J36" t="str">
        <x:f>Raw_Data!J36</x:f>
        <x:v>Train</x:v>
      </x:c>
    </x:row>
    <x:row r="37">
      <x:c r="A37">
        <x:v>35</x:v>
      </x:c>
      <x:c r="B37" t="n">
        <x:f>Raw_Data!C37</x:f>
        <x:v>6.85</x:v>
      </x:c>
      <x:c r="C37" t="n">
        <x:f>Raw_Data!A37/Reference_Stats!$B$8</x:f>
        <x:v>0.6342872144919938</x:v>
      </x:c>
      <x:c r="D37" t="n">
        <x:f>Raw_Data!H37</x:f>
        <x:v>1.053</x:v>
      </x:c>
      <x:c r="E37" t="n">
        <x:f>Raw_Data!F37/Raw_Data!A37</x:f>
        <x:v>8.5</x:v>
      </x:c>
      <x:c r="F37" t="n">
        <x:f>Raw_Data!D37/Raw_Data!A37</x:f>
        <x:v>3.75</x:v>
      </x:c>
      <x:c r="G37" t="n">
        <x:f>Raw_Data!E37/Raw_Data!A37</x:f>
        <x:v>38.75</x:v>
      </x:c>
      <x:c r="H37" t="n">
        <x:f>Raw_Data!G37/Raw_Data!A37</x:f>
        <x:v>40.7875</x:v>
      </x:c>
      <x:c r="I37" t="str">
        <x:f>Raw_Data!I37</x:f>
        <x:v>γ≈1.00</x:v>
      </x:c>
      <x:c r="J37" t="str">
        <x:f>Raw_Data!J37</x:f>
        <x:v>Test</x:v>
      </x:c>
    </x:row>
    <x:row r="38">
      <x:c r="A38">
        <x:v>36</x:v>
      </x:c>
      <x:c r="B38" t="n">
        <x:f>Raw_Data!C38</x:f>
        <x:v>5.35</x:v>
      </x:c>
      <x:c r="C38" t="n">
        <x:f>Raw_Data!A38/Reference_Stats!$B$8</x:f>
        <x:v>0.911787870832241</x:v>
      </x:c>
      <x:c r="D38" t="n">
        <x:f>Raw_Data!H38</x:f>
        <x:v>1.056</x:v>
      </x:c>
      <x:c r="E38" t="n">
        <x:f>Raw_Data!F38/Raw_Data!A38</x:f>
        <x:v>8.043478260869566</x:v>
      </x:c>
      <x:c r="F38" t="n">
        <x:f>Raw_Data!D38/Raw_Data!A38</x:f>
        <x:v>3.4782608695652177</x:v>
      </x:c>
      <x:c r="G38" t="n">
        <x:f>Raw_Data!E38/Raw_Data!A38</x:f>
        <x:v>28.260869565217394</x:v>
      </x:c>
      <x:c r="H38" t="n">
        <x:f>Raw_Data!G38/Raw_Data!A38</x:f>
        <x:v>29.830434782608698</x:v>
      </x:c>
      <x:c r="I38" t="str">
        <x:f>Raw_Data!I38</x:f>
        <x:v>γ≈1.00</x:v>
      </x:c>
      <x:c r="J38" t="str">
        <x:f>Raw_Data!J38</x:f>
        <x:v>Train</x:v>
      </x:c>
    </x:row>
    <x:row r="39">
      <x:c r="A39">
        <x:v>37</x:v>
      </x:c>
      <x:c r="B39" t="n">
        <x:f>Raw_Data!C39</x:f>
        <x:v>8.28</x:v>
      </x:c>
      <x:c r="C39" t="n">
        <x:f>Raw_Data!A39/Reference_Stats!$B$8</x:f>
        <x:v>0.911787870832241</x:v>
      </x:c>
      <x:c r="D39" t="n">
        <x:f>Raw_Data!H39</x:f>
        <x:v>1.061</x:v>
      </x:c>
      <x:c r="E39" t="n">
        <x:f>Raw_Data!F39/Raw_Data!A39</x:f>
        <x:v>11.08695652173913</x:v>
      </x:c>
      <x:c r="F39" t="n">
        <x:f>Raw_Data!D39/Raw_Data!A39</x:f>
        <x:v>5.217391304347826</x:v>
      </x:c>
      <x:c r="G39" t="n">
        <x:f>Raw_Data!E39/Raw_Data!A39</x:f>
        <x:v>47.82608695652174</x:v>
      </x:c>
      <x:c r="H39" t="n">
        <x:f>Raw_Data!G39/Raw_Data!A39</x:f>
        <x:v>50.721739130434784</x:v>
      </x:c>
      <x:c r="I39" t="str">
        <x:f>Raw_Data!I39</x:f>
        <x:v>γ≈1.00</x:v>
      </x:c>
      <x:c r="J39" t="str">
        <x:f>Raw_Data!J39</x:f>
        <x:v>Train</x:v>
      </x:c>
    </x:row>
    <x:row r="40">
      <x:c r="A40">
        <x:v>38</x:v>
      </x:c>
      <x:c r="B40" t="n">
        <x:f>Raw_Data!C40</x:f>
        <x:v>9.33</x:v>
      </x:c>
      <x:c r="C40" t="n">
        <x:f>Raw_Data!A40/Reference_Stats!$B$8</x:f>
        <x:v>0.911787870832241</x:v>
      </x:c>
      <x:c r="D40" t="n">
        <x:f>Raw_Data!H40</x:f>
        <x:v>1.061</x:v>
      </x:c>
      <x:c r="E40" t="n">
        <x:f>Raw_Data!F40/Raw_Data!A40</x:f>
        <x:v>11.91304347826087</x:v>
      </x:c>
      <x:c r="F40" t="n">
        <x:f>Raw_Data!D40/Raw_Data!A40</x:f>
        <x:v>6.086956521739131</x:v>
      </x:c>
      <x:c r="G40" t="n">
        <x:f>Raw_Data!E40/Raw_Data!A40</x:f>
        <x:v>54.34782608695652</x:v>
      </x:c>
      <x:c r="H40" t="n">
        <x:f>Raw_Data!G40/Raw_Data!A40</x:f>
        <x:v>57.660869565217396</x:v>
      </x:c>
      <x:c r="I40" t="str">
        <x:f>Raw_Data!I40</x:f>
        <x:v>γ≈1.00</x:v>
      </x:c>
      <x:c r="J40" t="str">
        <x:f>Raw_Data!J40</x:f>
        <x:v>Train</x:v>
      </x:c>
    </x:row>
    <x:row r="41">
      <x:c r="A41">
        <x:v>39</x:v>
      </x:c>
      <x:c r="B41" t="n">
        <x:f>Raw_Data!C41</x:f>
        <x:v>3.71</x:v>
      </x:c>
      <x:c r="C41" t="n">
        <x:f>Raw_Data!A41/Reference_Stats!$B$8</x:f>
        <x:v>1.0703596744552395</x:v>
      </x:c>
      <x:c r="D41" t="n">
        <x:f>Raw_Data!H41</x:f>
        <x:v>1.062</x:v>
      </x:c>
      <x:c r="E41" t="n">
        <x:f>Raw_Data!F41/Raw_Data!A41</x:f>
        <x:v>4.518518518518518</x:v>
      </x:c>
      <x:c r="F41" t="n">
        <x:f>Raw_Data!D41/Raw_Data!A41</x:f>
        <x:v>1.6666666666666665</x:v>
      </x:c>
      <x:c r="G41" t="n">
        <x:f>Raw_Data!E41/Raw_Data!A41</x:f>
        <x:v>16.296296296296294</x:v>
      </x:c>
      <x:c r="H41" t="n">
        <x:f>Raw_Data!G41/Raw_Data!A41</x:f>
        <x:v>17.314814814814813</x:v>
      </x:c>
      <x:c r="I41" t="str">
        <x:f>Raw_Data!I41</x:f>
        <x:v>γ≈1.00</x:v>
      </x:c>
      <x:c r="J41" t="str">
        <x:f>Raw_Data!J41</x:f>
        <x:v>Train</x:v>
      </x:c>
    </x:row>
    <x:row r="42">
      <x:c r="A42">
        <x:v>40</x:v>
      </x:c>
      <x:c r="B42" t="n">
        <x:f>Raw_Data!C42</x:f>
        <x:v>6.12</x:v>
      </x:c>
      <x:c r="C42" t="n">
        <x:f>Raw_Data!A42/Reference_Stats!$B$8</x:f>
        <x:v>0.713573116303493</x:v>
      </x:c>
      <x:c r="D42" t="n">
        <x:f>Raw_Data!H42</x:f>
        <x:v>1.064</x:v>
      </x:c>
      <x:c r="E42" t="n">
        <x:f>Raw_Data!F42/Raw_Data!A42</x:f>
        <x:v>7.944444444444445</x:v>
      </x:c>
      <x:c r="F42" t="n">
        <x:f>Raw_Data!D42/Raw_Data!A42</x:f>
        <x:v>3.888888888888889</x:v>
      </x:c>
      <x:c r="G42" t="n">
        <x:f>Raw_Data!E42/Raw_Data!A42</x:f>
        <x:v>33.333333333333336</x:v>
      </x:c>
      <x:c r="H42" t="n">
        <x:f>Raw_Data!G42/Raw_Data!A42</x:f>
        <x:v>35.477777777777774</x:v>
      </x:c>
      <x:c r="I42" t="str">
        <x:f>Raw_Data!I42</x:f>
        <x:v>γ≈1.00</x:v>
      </x:c>
      <x:c r="J42" t="str">
        <x:f>Raw_Data!J42</x:f>
        <x:v>Train</x:v>
      </x:c>
    </x:row>
    <x:row r="43">
      <x:c r="A43">
        <x:v>41</x:v>
      </x:c>
      <x:c r="B43" t="n">
        <x:f>Raw_Data!C43</x:f>
        <x:v>3.88</x:v>
      </x:c>
      <x:c r="C43" t="n">
        <x:f>Raw_Data!A43/Reference_Stats!$B$8</x:f>
        <x:v>1.0703596744552395</x:v>
      </x:c>
      <x:c r="D43" t="n">
        <x:f>Raw_Data!H43</x:f>
        <x:v>1.072</x:v>
      </x:c>
      <x:c r="E43" t="n">
        <x:f>Raw_Data!F43/Raw_Data!A43</x:f>
        <x:v>4.814814814814815</x:v>
      </x:c>
      <x:c r="F43" t="n">
        <x:f>Raw_Data!D43/Raw_Data!A43</x:f>
        <x:v>1.8518518518518516</x:v>
      </x:c>
      <x:c r="G43" t="n">
        <x:f>Raw_Data!E43/Raw_Data!A43</x:f>
        <x:v>17.407407407407405</x:v>
      </x:c>
      <x:c r="H43" t="n">
        <x:f>Raw_Data!G43/Raw_Data!A43</x:f>
        <x:v>18.66296296296296</x:v>
      </x:c>
      <x:c r="I43" t="str">
        <x:f>Raw_Data!I43</x:f>
        <x:v>γ≈1.00</x:v>
      </x:c>
      <x:c r="J43" t="str">
        <x:f>Raw_Data!J43</x:f>
        <x:v>Train</x:v>
      </x:c>
    </x:row>
    <x:row r="44">
      <x:c r="A44">
        <x:v>42</x:v>
      </x:c>
      <x:c r="B44" t="n">
        <x:f>Raw_Data!C44</x:f>
        <x:v>8.77</x:v>
      </x:c>
      <x:c r="C44" t="n">
        <x:f>Raw_Data!A44/Reference_Stats!$B$8</x:f>
        <x:v>0.911787870832241</x:v>
      </x:c>
      <x:c r="D44" t="n">
        <x:f>Raw_Data!H44</x:f>
        <x:v>1.079</x:v>
      </x:c>
      <x:c r="E44" t="n">
        <x:f>Raw_Data!F44/Raw_Data!A44</x:f>
        <x:v>11.91304347826087</x:v>
      </x:c>
      <x:c r="F44" t="n">
        <x:f>Raw_Data!D44/Raw_Data!A44</x:f>
        <x:v>5.6521739130434785</x:v>
      </x:c>
      <x:c r="G44" t="n">
        <x:f>Raw_Data!E44/Raw_Data!A44</x:f>
        <x:v>50.00000000000001</x:v>
      </x:c>
      <x:c r="H44" t="n">
        <x:f>Raw_Data!G44/Raw_Data!A44</x:f>
        <x:v>53.96086956521739</x:v>
      </x:c>
      <x:c r="I44" t="str">
        <x:f>Raw_Data!I44</x:f>
        <x:v>γ≈1.15</x:v>
      </x:c>
      <x:c r="J44" t="str">
        <x:f>Raw_Data!J44</x:f>
        <x:v>Train</x:v>
      </x:c>
    </x:row>
    <x:row r="45">
      <x:c r="A45">
        <x:v>43</x:v>
      </x:c>
      <x:c r="B45" t="n">
        <x:f>Raw_Data!C45</x:f>
        <x:v>5.79</x:v>
      </x:c>
      <x:c r="C45" t="n">
        <x:f>Raw_Data!A45/Reference_Stats!$B$8</x:f>
        <x:v>0.713573116303493</x:v>
      </x:c>
      <x:c r="D45" t="n">
        <x:f>Raw_Data!H45</x:f>
        <x:v>1.082</x:v>
      </x:c>
      <x:c r="E45" t="n">
        <x:f>Raw_Data!F45/Raw_Data!A45</x:f>
        <x:v>7.5</x:v>
      </x:c>
      <x:c r="F45" t="n">
        <x:f>Raw_Data!D45/Raw_Data!A45</x:f>
        <x:v>3.333333333333333</x:v>
      </x:c>
      <x:c r="G45" t="n">
        <x:f>Raw_Data!E45/Raw_Data!A45</x:f>
        <x:v>30.555555555555554</x:v>
      </x:c>
      <x:c r="H45" t="n">
        <x:f>Raw_Data!G45/Raw_Data!A45</x:f>
        <x:v>33.05</x:v>
      </x:c>
      <x:c r="I45" t="str">
        <x:f>Raw_Data!I45</x:f>
        <x:v>γ≈1.15</x:v>
      </x:c>
      <x:c r="J45" t="str">
        <x:f>Raw_Data!J45</x:f>
        <x:v>Train</x:v>
      </x:c>
    </x:row>
    <x:row r="46">
      <x:c r="A46">
        <x:v>44</x:v>
      </x:c>
      <x:c r="B46" t="n">
        <x:f>Raw_Data!C46</x:f>
        <x:v>9.89</x:v>
      </x:c>
      <x:c r="C46" t="n">
        <x:f>Raw_Data!A46/Reference_Stats!$B$8</x:f>
        <x:v>0.6342872144919938</x:v>
      </x:c>
      <x:c r="D46" t="n">
        <x:f>Raw_Data!H46</x:f>
        <x:v>1.089</x:v>
      </x:c>
      <x:c r="E46" t="n">
        <x:f>Raw_Data!F46/Raw_Data!A46</x:f>
        <x:v>12.6875</x:v>
      </x:c>
      <x:c r="F46" t="n">
        <x:f>Raw_Data!D46/Raw_Data!A46</x:f>
        <x:v>6.25</x:v>
      </x:c>
      <x:c r="G46" t="n">
        <x:f>Raw_Data!E46/Raw_Data!A46</x:f>
        <x:v>56.25</x:v>
      </x:c>
      <x:c r="H46" t="n">
        <x:f>Raw_Data!G46/Raw_Data!A46</x:f>
        <x:v>61.275</x:v>
      </x:c>
      <x:c r="I46" t="str">
        <x:f>Raw_Data!I46</x:f>
        <x:v>γ≈1.15</x:v>
      </x:c>
      <x:c r="J46" t="str">
        <x:f>Raw_Data!J46</x:f>
        <x:v>Train</x:v>
      </x:c>
    </x:row>
    <x:row r="47">
      <x:c r="A47">
        <x:v>45</x:v>
      </x:c>
      <x:c r="B47" t="n">
        <x:f>Raw_Data!C47</x:f>
        <x:v>7.86</x:v>
      </x:c>
      <x:c r="C47" t="n">
        <x:f>Raw_Data!A47/Reference_Stats!$B$8</x:f>
        <x:v>0.6342872144919938</x:v>
      </x:c>
      <x:c r="D47" t="n">
        <x:f>Raw_Data!H47</x:f>
        <x:v>1.093</x:v>
      </x:c>
      <x:c r="E47" t="n">
        <x:f>Raw_Data!F47/Raw_Data!A47</x:f>
        <x:v>10.249999999999998</x:v>
      </x:c>
      <x:c r="F47" t="n">
        <x:f>Raw_Data!D47/Raw_Data!A47</x:f>
        <x:v>4.375</x:v>
      </x:c>
      <x:c r="G47" t="n">
        <x:f>Raw_Data!E47/Raw_Data!A47</x:f>
        <x:v>43.75</x:v>
      </x:c>
      <x:c r="H47" t="n">
        <x:f>Raw_Data!G47/Raw_Data!A47</x:f>
        <x:v>47.824999999999996</x:v>
      </x:c>
      <x:c r="I47" t="str">
        <x:f>Raw_Data!I47</x:f>
        <x:v>γ≈1.15</x:v>
      </x:c>
      <x:c r="J47" t="str">
        <x:f>Raw_Data!J47</x:f>
        <x:v>Test</x:v>
      </x:c>
    </x:row>
    <x:row r="48">
      <x:c r="A48">
        <x:v>46</x:v>
      </x:c>
      <x:c r="B48" t="n">
        <x:f>Raw_Data!C48</x:f>
        <x:v>4.36</x:v>
      </x:c>
      <x:c r="C48" t="n">
        <x:f>Raw_Data!A48/Reference_Stats!$B$8</x:f>
        <x:v>1.0307167235494898</x:v>
      </x:c>
      <x:c r="D48" t="n">
        <x:f>Raw_Data!H48</x:f>
        <x:v>1.096</x:v>
      </x:c>
      <x:c r="E48" t="n">
        <x:f>Raw_Data!F48/Raw_Data!A48</x:f>
        <x:v>5.346153846153846</x:v>
      </x:c>
      <x:c r="F48" t="n">
        <x:f>Raw_Data!D48/Raw_Data!A48</x:f>
        <x:v>2.1153846153846154</x:v>
      </x:c>
      <x:c r="G48" t="n">
        <x:f>Raw_Data!E48/Raw_Data!A48</x:f>
        <x:v>20.384615384615383</x:v>
      </x:c>
      <x:c r="H48" t="n">
        <x:f>Raw_Data!G48/Raw_Data!A48</x:f>
        <x:v>22.338461538461537</x:v>
      </x:c>
      <x:c r="I48" t="str">
        <x:f>Raw_Data!I48</x:f>
        <x:v>γ≈1.15</x:v>
      </x:c>
      <x:c r="J48" t="str">
        <x:f>Raw_Data!J48</x:f>
        <x:v>Train</x:v>
      </x:c>
    </x:row>
    <x:row r="49">
      <x:c r="A49">
        <x:v>47</x:v>
      </x:c>
      <x:c r="B49" t="n">
        <x:f>Raw_Data!C49</x:f>
        <x:v>9.38</x:v>
      </x:c>
      <x:c r="C49" t="n">
        <x:f>Raw_Data!A49/Reference_Stats!$B$8</x:f>
        <x:v>0.6342872144919938</x:v>
      </x:c>
      <x:c r="D49" t="n">
        <x:f>Raw_Data!H49</x:f>
        <x:v>1.104</x:v>
      </x:c>
      <x:c r="E49" t="n">
        <x:f>Raw_Data!F49/Raw_Data!A49</x:f>
        <x:v>11.875</x:v>
      </x:c>
      <x:c r="F49" t="n">
        <x:f>Raw_Data!D49/Raw_Data!A49</x:f>
        <x:v>5.625</x:v>
      </x:c>
      <x:c r="G49" t="n">
        <x:f>Raw_Data!E49/Raw_Data!A49</x:f>
        <x:v>52.5</x:v>
      </x:c>
      <x:c r="H49" t="n">
        <x:f>Raw_Data!G49/Raw_Data!A49</x:f>
        <x:v>57.975</x:v>
      </x:c>
      <x:c r="I49" t="str">
        <x:f>Raw_Data!I49</x:f>
        <x:v>γ≈1.15</x:v>
      </x:c>
      <x:c r="J49" t="str">
        <x:f>Raw_Data!J49</x:f>
        <x:v>Train</x:v>
      </x:c>
    </x:row>
    <x:row r="50">
      <x:c r="A50">
        <x:v>48</x:v>
      </x:c>
      <x:c r="B50" t="n">
        <x:f>Raw_Data!C50</x:f>
        <x:v>5.8</x:v>
      </x:c>
      <x:c r="C50" t="n">
        <x:f>Raw_Data!A50/Reference_Stats!$B$8</x:f>
        <x:v>0.6342872144919938</x:v>
      </x:c>
      <x:c r="D50" t="n">
        <x:f>Raw_Data!H50</x:f>
        <x:v>1.105</x:v>
      </x:c>
      <x:c r="E50" t="n">
        <x:f>Raw_Data!F50/Raw_Data!A50</x:f>
        <x:v>6.687499999999999</x:v>
      </x:c>
      <x:c r="F50" t="n">
        <x:f>Raw_Data!D50/Raw_Data!A50</x:f>
        <x:v>2.8125</x:v>
      </x:c>
      <x:c r="G50" t="n">
        <x:f>Raw_Data!E50/Raw_Data!A50</x:f>
        <x:v>30</x:v>
      </x:c>
      <x:c r="H50" t="n">
        <x:f>Raw_Data!G50/Raw_Data!A50</x:f>
        <x:v>33.1625</x:v>
      </x:c>
      <x:c r="I50" t="str">
        <x:f>Raw_Data!I50</x:f>
        <x:v>γ≈1.15</x:v>
      </x:c>
      <x:c r="J50" t="str">
        <x:f>Raw_Data!J50</x:f>
        <x:v>Train</x:v>
      </x:c>
    </x:row>
    <x:row r="51">
      <x:c r="A51">
        <x:v>49</x:v>
      </x:c>
      <x:c r="B51" t="n">
        <x:f>Raw_Data!C51</x:f>
        <x:v>8.59</x:v>
      </x:c>
      <x:c r="C51" t="n">
        <x:f>Raw_Data!A51/Reference_Stats!$B$8</x:f>
        <x:v>0.6342872144919938</x:v>
      </x:c>
      <x:c r="D51" t="n">
        <x:f>Raw_Data!H51</x:f>
        <x:v>1.111</x:v>
      </x:c>
      <x:c r="E51" t="n">
        <x:f>Raw_Data!F51/Raw_Data!A51</x:f>
        <x:v>10.874999999999998</x:v>
      </x:c>
      <x:c r="F51" t="n">
        <x:f>Raw_Data!D51/Raw_Data!A51</x:f>
        <x:v>5</x:v>
      </x:c>
      <x:c r="G51" t="n">
        <x:f>Raw_Data!E51/Raw_Data!A51</x:f>
        <x:v>47.5</x:v>
      </x:c>
      <x:c r="H51" t="n">
        <x:f>Raw_Data!G51/Raw_Data!A51</x:f>
        <x:v>52.78125</x:v>
      </x:c>
      <x:c r="I51" t="str">
        <x:f>Raw_Data!I51</x:f>
        <x:v>γ≈1.15</x:v>
      </x:c>
      <x:c r="J51" t="str">
        <x:f>Raw_Data!J51</x:f>
        <x:v>Train</x:v>
      </x:c>
    </x:row>
    <x:row r="52">
      <x:c r="A52">
        <x:v>50</x:v>
      </x:c>
      <x:c r="B52" t="n">
        <x:f>Raw_Data!C52</x:f>
        <x:v>5.8</x:v>
      </x:c>
      <x:c r="C52" t="n">
        <x:f>Raw_Data!A52/Reference_Stats!$B$8</x:f>
        <x:v>0.9910737726437403</x:v>
      </x:c>
      <x:c r="D52" t="n">
        <x:f>Raw_Data!H52</x:f>
        <x:v>1.121</x:v>
      </x:c>
      <x:c r="E52" t="n">
        <x:f>Raw_Data!F52/Raw_Data!A52</x:f>
        <x:v>7.4799999999999995</x:v>
      </x:c>
      <x:c r="F52" t="n">
        <x:f>Raw_Data!D52/Raw_Data!A52</x:f>
        <x:v>3.2</x:v>
      </x:c>
      <x:c r="G52" t="n">
        <x:f>Raw_Data!E52/Raw_Data!A52</x:f>
        <x:v>29.6</x:v>
      </x:c>
      <x:c r="H52" t="n">
        <x:f>Raw_Data!G52/Raw_Data!A52</x:f>
        <x:v>33.176</x:v>
      </x:c>
      <x:c r="I52" t="str">
        <x:f>Raw_Data!I52</x:f>
        <x:v>γ≈1.15</x:v>
      </x:c>
      <x:c r="J52" t="str">
        <x:f>Raw_Data!J52</x:f>
        <x:v>Test</x:v>
      </x:c>
    </x:row>
    <x:row r="53">
      <x:c r="A53">
        <x:v>51</x:v>
      </x:c>
      <x:c r="B53" t="n">
        <x:f>Raw_Data!C53</x:f>
        <x:v>4.39</x:v>
      </x:c>
      <x:c r="C53" t="n">
        <x:f>Raw_Data!A53/Reference_Stats!$B$8</x:f>
        <x:v>1.3478603307954866</x:v>
      </x:c>
      <x:c r="D53" t="n">
        <x:f>Raw_Data!H53</x:f>
        <x:v>1.138</x:v>
      </x:c>
      <x:c r="E53" t="n">
        <x:f>Raw_Data!F53/Raw_Data!A53</x:f>
        <x:v>5.176470588235294</x:v>
      </x:c>
      <x:c r="F53" t="n">
        <x:f>Raw_Data!D53/Raw_Data!A53</x:f>
        <x:v>2.058823529411765</x:v>
      </x:c>
      <x:c r="G53" t="n">
        <x:f>Raw_Data!E53/Raw_Data!A53</x:f>
        <x:v>19.11764705882353</x:v>
      </x:c>
      <x:c r="H53" t="n">
        <x:f>Raw_Data!G53/Raw_Data!A53</x:f>
        <x:v>21.761764705882353</x:v>
      </x:c>
      <x:c r="I53" t="str">
        <x:f>Raw_Data!I53</x:f>
        <x:v>γ≈1.15</x:v>
      </x:c>
      <x:c r="J53" t="str">
        <x:f>Raw_Data!J53</x:f>
        <x:v>Train</x:v>
      </x:c>
    </x:row>
    <x:row r="54">
      <x:c r="A54">
        <x:v>52</x:v>
      </x:c>
      <x:c r="B54" t="n">
        <x:f>Raw_Data!C54</x:f>
        <x:v>2.85</x:v>
      </x:c>
      <x:c r="C54" t="n">
        <x:f>Raw_Data!A54/Reference_Stats!$B$8</x:f>
        <x:v>1.110002625360989</x:v>
      </x:c>
      <x:c r="D54" t="n">
        <x:f>Raw_Data!H54</x:f>
        <x:v>1.145</x:v>
      </x:c>
      <x:c r="E54" t="n">
        <x:f>Raw_Data!F54/Raw_Data!A54</x:f>
        <x:v>3.3928571428571432</x:v>
      </x:c>
      <x:c r="F54" t="n">
        <x:f>Raw_Data!D54/Raw_Data!A54</x:f>
        <x:v>1.0714285714285714</x:v>
      </x:c>
      <x:c r="G54" t="n">
        <x:f>Raw_Data!E54/Raw_Data!A54</x:f>
        <x:v>9.285714285714286</x:v>
      </x:c>
      <x:c r="H54" t="n">
        <x:f>Raw_Data!G54/Raw_Data!A54</x:f>
        <x:v>10.632142857142858</x:v>
      </x:c>
      <x:c r="I54" t="str">
        <x:f>Raw_Data!I54</x:f>
        <x:v>γ≈1.15</x:v>
      </x:c>
      <x:c r="J54" t="str">
        <x:f>Raw_Data!J54</x:f>
        <x:v>Train</x:v>
      </x:c>
    </x:row>
    <x:row r="55">
      <x:c r="A55">
        <x:v>53</x:v>
      </x:c>
      <x:c r="B55" t="n">
        <x:f>Raw_Data!C55</x:f>
        <x:v>5.1</x:v>
      </x:c>
      <x:c r="C55" t="n">
        <x:f>Raw_Data!A55/Reference_Stats!$B$8</x:f>
        <x:v>0.6342872144919938</x:v>
      </x:c>
      <x:c r="D55" t="n">
        <x:f>Raw_Data!H55</x:f>
        <x:v>1.146</x:v>
      </x:c>
      <x:c r="E55" t="n">
        <x:f>Raw_Data!F55/Raw_Data!A55</x:f>
        <x:v>6.374999999999999</x:v>
      </x:c>
      <x:c r="F55" t="n">
        <x:f>Raw_Data!D55/Raw_Data!A55</x:f>
        <x:v>2.5</x:v>
      </x:c>
      <x:c r="G55" t="n">
        <x:f>Raw_Data!E55/Raw_Data!A55</x:f>
        <x:v>24.375</x:v>
      </x:c>
      <x:c r="H55" t="n">
        <x:f>Raw_Data!G55/Raw_Data!A55</x:f>
        <x:v>27.93125</x:v>
      </x:c>
      <x:c r="I55" t="str">
        <x:f>Raw_Data!I55</x:f>
        <x:v>γ≈1.15</x:v>
      </x:c>
      <x:c r="J55" t="str">
        <x:f>Raw_Data!J55</x:f>
        <x:v>Train</x:v>
      </x:c>
    </x:row>
    <x:row r="56">
      <x:c r="A56">
        <x:v>54</x:v>
      </x:c>
      <x:c r="B56" t="n">
        <x:f>Raw_Data!C56</x:f>
        <x:v>6.4</x:v>
      </x:c>
      <x:c r="C56" t="n">
        <x:f>Raw_Data!A56/Reference_Stats!$B$8</x:f>
        <x:v>1.1892885271724882</x:v>
      </x:c>
      <x:c r="D56" t="n">
        <x:f>Raw_Data!H56</x:f>
        <x:v>1.147</x:v>
      </x:c>
      <x:c r="E56" t="n">
        <x:f>Raw_Data!F56/Raw_Data!A56</x:f>
        <x:v>7.666666666666667</x:v>
      </x:c>
      <x:c r="F56" t="n">
        <x:f>Raw_Data!D56/Raw_Data!A56</x:f>
        <x:v>3.3333333333333335</x:v>
      </x:c>
      <x:c r="G56" t="n">
        <x:f>Raw_Data!E56/Raw_Data!A56</x:f>
        <x:v>30.666666666666668</x:v>
      </x:c>
      <x:c r="H56" t="n">
        <x:f>Raw_Data!G56/Raw_Data!A56</x:f>
        <x:v>35.163333333333334</x:v>
      </x:c>
      <x:c r="I56" t="str">
        <x:f>Raw_Data!I56</x:f>
        <x:v>γ≈1.15</x:v>
      </x:c>
      <x:c r="J56" t="str">
        <x:f>Raw_Data!J56</x:f>
        <x:v>Train</x:v>
      </x:c>
    </x:row>
    <x:row r="57">
      <x:c r="A57">
        <x:v>55</x:v>
      </x:c>
      <x:c r="B57" t="n">
        <x:f>Raw_Data!C57</x:f>
        <x:v>7.44</x:v>
      </x:c>
      <x:c r="C57" t="n">
        <x:f>Raw_Data!A57/Reference_Stats!$B$8</x:f>
        <x:v>0.911787870832241</x:v>
      </x:c>
      <x:c r="D57" t="n">
        <x:f>Raw_Data!H57</x:f>
        <x:v>1.147</x:v>
      </x:c>
      <x:c r="E57" t="n">
        <x:f>Raw_Data!F57/Raw_Data!A57</x:f>
        <x:v>9.73913043478261</x:v>
      </x:c>
      <x:c r="F57" t="n">
        <x:f>Raw_Data!D57/Raw_Data!A57</x:f>
        <x:v>4.347826086956522</x:v>
      </x:c>
      <x:c r="G57" t="n">
        <x:f>Raw_Data!E57/Raw_Data!A57</x:f>
        <x:v>39.130434782608695</x:v>
      </x:c>
      <x:c r="H57" t="n">
        <x:f>Raw_Data!G57/Raw_Data!A57</x:f>
        <x:v>44.9</x:v>
      </x:c>
      <x:c r="I57" t="str">
        <x:f>Raw_Data!I57</x:f>
        <x:v>γ≈1.15</x:v>
      </x:c>
      <x:c r="J57" t="str">
        <x:f>Raw_Data!J57</x:f>
        <x:v>Test</x:v>
      </x:c>
    </x:row>
    <x:row r="58">
      <x:c r="A58">
        <x:v>56</x:v>
      </x:c>
      <x:c r="B58" t="n">
        <x:f>Raw_Data!C58</x:f>
        <x:v>4.77</x:v>
      </x:c>
      <x:c r="C58" t="n">
        <x:f>Raw_Data!A58/Reference_Stats!$B$8</x:f>
        <x:v>1.3478603307954866</x:v>
      </x:c>
      <x:c r="D58" t="n">
        <x:f>Raw_Data!H58</x:f>
        <x:v>1.152</x:v>
      </x:c>
      <x:c r="E58" t="n">
        <x:f>Raw_Data!F58/Raw_Data!A58</x:f>
        <x:v>5.588235294117648</x:v>
      </x:c>
      <x:c r="F58" t="n">
        <x:f>Raw_Data!D58/Raw_Data!A58</x:f>
        <x:v>2.3529411764705883</x:v>
      </x:c>
      <x:c r="G58" t="n">
        <x:f>Raw_Data!E58/Raw_Data!A58</x:f>
        <x:v>21.176470588235293</x:v>
      </x:c>
      <x:c r="H58" t="n">
        <x:f>Raw_Data!G58/Raw_Data!A58</x:f>
        <x:v>24.4</x:v>
      </x:c>
      <x:c r="I58" t="str">
        <x:f>Raw_Data!I58</x:f>
        <x:v>γ≈1.15</x:v>
      </x:c>
      <x:c r="J58" t="str">
        <x:f>Raw_Data!J58</x:f>
        <x:v>Train</x:v>
      </x:c>
    </x:row>
    <x:row r="59">
      <x:c r="A59">
        <x:v>57</x:v>
      </x:c>
      <x:c r="B59" t="n">
        <x:f>Raw_Data!C59</x:f>
        <x:v>8.57</x:v>
      </x:c>
      <x:c r="C59" t="n">
        <x:f>Raw_Data!A59/Reference_Stats!$B$8</x:f>
        <x:v>0.911787870832241</x:v>
      </x:c>
      <x:c r="D59" t="n">
        <x:f>Raw_Data!H59</x:f>
        <x:v>1.153</x:v>
      </x:c>
      <x:c r="E59" t="n">
        <x:f>Raw_Data!F59/Raw_Data!A59</x:f>
        <x:v>11.217391304347828</x:v>
      </x:c>
      <x:c r="F59" t="n">
        <x:f>Raw_Data!D59/Raw_Data!A59</x:f>
        <x:v>5.217391304347826</x:v>
      </x:c>
      <x:c r="G59" t="n">
        <x:f>Raw_Data!E59/Raw_Data!A59</x:f>
        <x:v>45.652173913043484</x:v>
      </x:c>
      <x:c r="H59" t="n">
        <x:f>Raw_Data!G59/Raw_Data!A59</x:f>
        <x:v>52.65652173913044</x:v>
      </x:c>
      <x:c r="I59" t="str">
        <x:f>Raw_Data!I59</x:f>
        <x:v>γ≈1.15</x:v>
      </x:c>
      <x:c r="J59" t="str">
        <x:f>Raw_Data!J59</x:f>
        <x:v>Train</x:v>
      </x:c>
    </x:row>
    <x:row r="60">
      <x:c r="A60">
        <x:v>58</x:v>
      </x:c>
      <x:c r="B60" t="n">
        <x:f>Raw_Data!C60</x:f>
        <x:v>8.96</x:v>
      </x:c>
      <x:c r="C60" t="n">
        <x:f>Raw_Data!A60/Reference_Stats!$B$8</x:f>
        <x:v>0.911787870832241</x:v>
      </x:c>
      <x:c r="D60" t="n">
        <x:f>Raw_Data!H60</x:f>
        <x:v>1.155</x:v>
      </x:c>
      <x:c r="E60" t="n">
        <x:f>Raw_Data!F60/Raw_Data!A60</x:f>
        <x:v>12.043478260869566</x:v>
      </x:c>
      <x:c r="F60" t="n">
        <x:f>Raw_Data!D60/Raw_Data!A60</x:f>
        <x:v>5.6521739130434785</x:v>
      </x:c>
      <x:c r="G60" t="n">
        <x:f>Raw_Data!E60/Raw_Data!A60</x:f>
        <x:v>47.82608695652174</x:v>
      </x:c>
      <x:c r="H60" t="n">
        <x:f>Raw_Data!G60/Raw_Data!A60</x:f>
        <x:v>55.230434782608704</x:v>
      </x:c>
      <x:c r="I60" t="str">
        <x:f>Raw_Data!I60</x:f>
        <x:v>γ≈1.15</x:v>
      </x:c>
      <x:c r="J60" t="str">
        <x:f>Raw_Data!J60</x:f>
        <x:v>Train</x:v>
      </x:c>
    </x:row>
    <x:row r="61">
      <x:c r="A61">
        <x:v>59</x:v>
      </x:c>
      <x:c r="B61" t="n">
        <x:f>Raw_Data!C61</x:f>
        <x:v>4.72</x:v>
      </x:c>
      <x:c r="C61" t="n">
        <x:f>Raw_Data!A61/Reference_Stats!$B$8</x:f>
        <x:v>0.9910737726437403</x:v>
      </x:c>
      <x:c r="D61" t="n">
        <x:f>Raw_Data!H61</x:f>
        <x:v>1.162</x:v>
      </x:c>
      <x:c r="E61" t="n">
        <x:f>Raw_Data!F61/Raw_Data!A61</x:f>
        <x:v>5.96</x:v>
      </x:c>
      <x:c r="F61" t="n">
        <x:f>Raw_Data!D61/Raw_Data!A61</x:f>
        <x:v>2.4</x:v>
      </x:c>
      <x:c r="G61" t="n">
        <x:f>Raw_Data!E61/Raw_Data!A61</x:f>
        <x:v>21.6</x:v>
      </x:c>
      <x:c r="H61" t="n">
        <x:f>Raw_Data!G61/Raw_Data!A61</x:f>
        <x:v>25.1</x:v>
      </x:c>
      <x:c r="I61" t="str">
        <x:f>Raw_Data!I61</x:f>
        <x:v>γ≈1.15</x:v>
      </x:c>
      <x:c r="J61" t="str">
        <x:f>Raw_Data!J61</x:f>
        <x:v>Test</x:v>
      </x:c>
    </x:row>
    <x:row r="62">
      <x:c r="A62">
        <x:v>60</x:v>
      </x:c>
      <x:c r="B62" t="n">
        <x:f>Raw_Data!C62</x:f>
        <x:v>5.28</x:v>
      </x:c>
      <x:c r="C62" t="n">
        <x:f>Raw_Data!A62/Reference_Stats!$B$8</x:f>
        <x:v>0.9910737726437403</x:v>
      </x:c>
      <x:c r="D62" t="n">
        <x:f>Raw_Data!H62</x:f>
        <x:v>1.163</x:v>
      </x:c>
      <x:c r="E62" t="n">
        <x:f>Raw_Data!F62/Raw_Data!A62</x:f>
        <x:v>6.640000000000001</x:v>
      </x:c>
      <x:c r="F62" t="n">
        <x:f>Raw_Data!D62/Raw_Data!A62</x:f>
        <x:v>2.8</x:v>
      </x:c>
      <x:c r="G62" t="n">
        <x:f>Raw_Data!E62/Raw_Data!A62</x:f>
        <x:v>25.2</x:v>
      </x:c>
      <x:c r="H62" t="n">
        <x:f>Raw_Data!G62/Raw_Data!A62</x:f>
        <x:v>29.3</x:v>
      </x:c>
      <x:c r="I62" t="str">
        <x:f>Raw_Data!I62</x:f>
        <x:v>γ≈1.15</x:v>
      </x:c>
      <x:c r="J62" t="str">
        <x:f>Raw_Data!J62</x:f>
        <x:v>Train</x:v>
      </x:c>
    </x:row>
    <x:row r="63">
      <x:c r="A63">
        <x:v>61</x:v>
      </x:c>
      <x:c r="B63" t="n">
        <x:f>Raw_Data!C63</x:f>
        <x:v>7.16</x:v>
      </x:c>
      <x:c r="C63" t="n">
        <x:f>Raw_Data!A63/Reference_Stats!$B$8</x:f>
        <x:v>0.6342872144919938</x:v>
      </x:c>
      <x:c r="D63" t="n">
        <x:f>Raw_Data!H63</x:f>
        <x:v>1.164</x:v>
      </x:c>
      <x:c r="E63" t="n">
        <x:f>Raw_Data!F63/Raw_Data!A63</x:f>
        <x:v>8.625</x:v>
      </x:c>
      <x:c r="F63" t="n">
        <x:f>Raw_Data!D63/Raw_Data!A63</x:f>
        <x:v>3.75</x:v>
      </x:c>
      <x:c r="G63" t="n">
        <x:f>Raw_Data!E63/Raw_Data!A63</x:f>
        <x:v>36.875</x:v>
      </x:c>
      <x:c r="H63" t="n">
        <x:f>Raw_Data!G63/Raw_Data!A63</x:f>
        <x:v>42.918749999999996</x:v>
      </x:c>
      <x:c r="I63" t="str">
        <x:f>Raw_Data!I63</x:f>
        <x:v>γ≈1.15</x:v>
      </x:c>
      <x:c r="J63" t="str">
        <x:f>Raw_Data!J63</x:f>
        <x:v>Train</x:v>
      </x:c>
    </x:row>
    <x:row r="64">
      <x:c r="A64">
        <x:v>62</x:v>
      </x:c>
      <x:c r="B64" t="n">
        <x:f>Raw_Data!C64</x:f>
        <x:v>5.27</x:v>
      </x:c>
      <x:c r="C64" t="n">
        <x:f>Raw_Data!A64/Reference_Stats!$B$8</x:f>
        <x:v>0.9514308217379907</x:v>
      </x:c>
      <x:c r="D64" t="n">
        <x:f>Raw_Data!H64</x:f>
        <x:v>1.168</x:v>
      </x:c>
      <x:c r="E64" t="n">
        <x:f>Raw_Data!F64/Raw_Data!A64</x:f>
        <x:v>6.458333333333334</x:v>
      </x:c>
      <x:c r="F64" t="n">
        <x:f>Raw_Data!D64/Raw_Data!A64</x:f>
        <x:v>2.5</x:v>
      </x:c>
      <x:c r="G64" t="n">
        <x:f>Raw_Data!E64/Raw_Data!A64</x:f>
        <x:v>25</x:v>
      </x:c>
      <x:c r="H64" t="n">
        <x:f>Raw_Data!G64/Raw_Data!A64</x:f>
        <x:v>29.19166666666667</x:v>
      </x:c>
      <x:c r="I64" t="str">
        <x:f>Raw_Data!I64</x:f>
        <x:v>γ≈1.15</x:v>
      </x:c>
      <x:c r="J64" t="str">
        <x:f>Raw_Data!J64</x:f>
        <x:v>Test</x:v>
      </x:c>
    </x:row>
    <x:row r="65">
      <x:c r="A65">
        <x:v>63</x:v>
      </x:c>
      <x:c r="B65" t="n">
        <x:f>Raw_Data!C65</x:f>
        <x:v>7.63</x:v>
      </x:c>
      <x:c r="C65" t="n">
        <x:f>Raw_Data!A65/Reference_Stats!$B$8</x:f>
        <x:v>0.9514308217379907</x:v>
      </x:c>
      <x:c r="D65" t="n">
        <x:f>Raw_Data!H65</x:f>
        <x:v>1.169</x:v>
      </x:c>
      <x:c r="E65" t="n">
        <x:f>Raw_Data!F65/Raw_Data!A65</x:f>
        <x:v>9.75</x:v>
      </x:c>
      <x:c r="F65" t="n">
        <x:f>Raw_Data!D65/Raw_Data!A65</x:f>
        <x:v>4.166666666666667</x:v>
      </x:c>
      <x:c r="G65" t="n">
        <x:f>Raw_Data!E65/Raw_Data!A65</x:f>
        <x:v>39.583333333333336</x:v>
      </x:c>
      <x:c r="H65" t="n">
        <x:f>Raw_Data!G65/Raw_Data!A65</x:f>
        <x:v>46.2625</x:v>
      </x:c>
      <x:c r="I65" t="str">
        <x:f>Raw_Data!I65</x:f>
        <x:v>γ≈1.15</x:v>
      </x:c>
      <x:c r="J65" t="str">
        <x:f>Raw_Data!J65</x:f>
        <x:v>Train</x:v>
      </x:c>
    </x:row>
    <x:row r="66">
      <x:c r="A66">
        <x:v>64</x:v>
      </x:c>
      <x:c r="B66" t="n">
        <x:f>Raw_Data!C66</x:f>
        <x:v>3.53</x:v>
      </x:c>
      <x:c r="C66" t="n">
        <x:f>Raw_Data!A66/Reference_Stats!$B$8</x:f>
        <x:v>1.3478603307954866</x:v>
      </x:c>
      <x:c r="D66" t="n">
        <x:f>Raw_Data!H66</x:f>
        <x:v>1.17</x:v>
      </x:c>
      <x:c r="E66" t="n">
        <x:f>Raw_Data!F66/Raw_Data!A66</x:f>
        <x:v>4.264705882352941</x:v>
      </x:c>
      <x:c r="F66" t="n">
        <x:f>Raw_Data!D66/Raw_Data!A66</x:f>
        <x:v>1.4705882352941178</x:v>
      </x:c>
      <x:c r="G66" t="n">
        <x:f>Raw_Data!E66/Raw_Data!A66</x:f>
        <x:v>13.23529411764706</x:v>
      </x:c>
      <x:c r="H66" t="n">
        <x:f>Raw_Data!G66/Raw_Data!A66</x:f>
        <x:v>15.479411764705883</x:v>
      </x:c>
      <x:c r="I66" t="str">
        <x:f>Raw_Data!I66</x:f>
        <x:v>γ≈1.15</x:v>
      </x:c>
      <x:c r="J66" t="str">
        <x:f>Raw_Data!J66</x:f>
        <x:v>Train</x:v>
      </x:c>
    </x:row>
    <x:row r="67">
      <x:c r="A67">
        <x:v>65</x:v>
      </x:c>
      <x:c r="B67" t="n">
        <x:f>Raw_Data!C67</x:f>
        <x:v>9.09</x:v>
      </x:c>
      <x:c r="C67" t="n">
        <x:f>Raw_Data!A67/Reference_Stats!$B$8</x:f>
        <x:v>0.911787870832241</x:v>
      </x:c>
      <x:c r="D67" t="n">
        <x:f>Raw_Data!H67</x:f>
        <x:v>1.173</x:v>
      </x:c>
      <x:c r="E67" t="n">
        <x:f>Raw_Data!F67/Raw_Data!A67</x:f>
        <x:v>12.173913043478262</x:v>
      </x:c>
      <x:c r="F67" t="n">
        <x:f>Raw_Data!D67/Raw_Data!A67</x:f>
        <x:v>5.6521739130434785</x:v>
      </x:c>
      <x:c r="G67" t="n">
        <x:f>Raw_Data!E67/Raw_Data!A67</x:f>
        <x:v>47.82608695652174</x:v>
      </x:c>
      <x:c r="H67" t="n">
        <x:f>Raw_Data!G67/Raw_Data!A67</x:f>
        <x:v>56.11304347826088</x:v>
      </x:c>
      <x:c r="I67" t="str">
        <x:f>Raw_Data!I67</x:f>
        <x:v>γ≈1.15</x:v>
      </x:c>
      <x:c r="J67" t="str">
        <x:f>Raw_Data!J67</x:f>
        <x:v>Train</x:v>
      </x:c>
    </x:row>
    <x:row r="68">
      <x:c r="A68">
        <x:v>66</x:v>
      </x:c>
      <x:c r="B68" t="n">
        <x:f>Raw_Data!C68</x:f>
        <x:v>7.89</x:v>
      </x:c>
      <x:c r="C68" t="n">
        <x:f>Raw_Data!A68/Reference_Stats!$B$8</x:f>
        <x:v>0.911787870832241</x:v>
      </x:c>
      <x:c r="D68" t="n">
        <x:f>Raw_Data!H68</x:f>
        <x:v>1.176</x:v>
      </x:c>
      <x:c r="E68" t="n">
        <x:f>Raw_Data!F68/Raw_Data!A68</x:f>
        <x:v>10.56521739130435</x:v>
      </x:c>
      <x:c r="F68" t="n">
        <x:f>Raw_Data!D68/Raw_Data!A68</x:f>
        <x:v>4.782608695652175</x:v>
      </x:c>
      <x:c r="G68" t="n">
        <x:f>Raw_Data!E68/Raw_Data!A68</x:f>
        <x:v>40.869565217391305</x:v>
      </x:c>
      <x:c r="H68" t="n">
        <x:f>Raw_Data!G68/Raw_Data!A68</x:f>
        <x:v>48.06956521739131</x:v>
      </x:c>
      <x:c r="I68" t="str">
        <x:f>Raw_Data!I68</x:f>
        <x:v>γ≈1.15</x:v>
      </x:c>
      <x:c r="J68" t="str">
        <x:f>Raw_Data!J68</x:f>
        <x:v>Test</x:v>
      </x:c>
    </x:row>
    <x:row r="69">
      <x:c r="A69">
        <x:v>67</x:v>
      </x:c>
      <x:c r="B69" t="n">
        <x:f>Raw_Data!C69</x:f>
        <x:v>6.98</x:v>
      </x:c>
      <x:c r="C69" t="n">
        <x:f>Raw_Data!A69/Reference_Stats!$B$8</x:f>
        <x:v>0.9514308217379907</x:v>
      </x:c>
      <x:c r="D69" t="n">
        <x:f>Raw_Data!H69</x:f>
        <x:v>1.176</x:v>
      </x:c>
      <x:c r="E69" t="n">
        <x:f>Raw_Data!F69/Raw_Data!A69</x:f>
        <x:v>8.75</x:v>
      </x:c>
      <x:c r="F69" t="n">
        <x:f>Raw_Data!D69/Raw_Data!A69</x:f>
        <x:v>3.75</x:v>
      </x:c>
      <x:c r="G69" t="n">
        <x:f>Raw_Data!E69/Raw_Data!A69</x:f>
        <x:v>35.41666666666667</x:v>
      </x:c>
      <x:c r="H69" t="n">
        <x:f>Raw_Data!G69/Raw_Data!A69</x:f>
        <x:v>41.6625</x:v>
      </x:c>
      <x:c r="I69" t="str">
        <x:f>Raw_Data!I69</x:f>
        <x:v>γ≈1.15</x:v>
      </x:c>
      <x:c r="J69" t="str">
        <x:f>Raw_Data!J69</x:f>
        <x:v>Test</x:v>
      </x:c>
    </x:row>
    <x:row r="70">
      <x:c r="A70">
        <x:v>68</x:v>
      </x:c>
      <x:c r="B70" t="n">
        <x:f>Raw_Data!C70</x:f>
        <x:v>3.47</x:v>
      </x:c>
      <x:c r="C70" t="n">
        <x:f>Raw_Data!A70/Reference_Stats!$B$8</x:f>
        <x:v>1.7839327907587326</x:v>
      </x:c>
      <x:c r="D70" t="n">
        <x:f>Raw_Data!H70</x:f>
        <x:v>1.187</x:v>
      </x:c>
      <x:c r="E70" t="n">
        <x:f>Raw_Data!F70/Raw_Data!A70</x:f>
        <x:v>3.822222222222222</x:v>
      </x:c>
      <x:c r="F70" t="n">
        <x:f>Raw_Data!D70/Raw_Data!A70</x:f>
        <x:v>1.3333333333333333</x:v>
      </x:c>
      <x:c r="G70" t="n">
        <x:f>Raw_Data!E70/Raw_Data!A70</x:f>
        <x:v>12.666666666666666</x:v>
      </x:c>
      <x:c r="H70" t="n">
        <x:f>Raw_Data!G70/Raw_Data!A70</x:f>
        <x:v>15.040000000000001</x:v>
      </x:c>
      <x:c r="I70" t="str">
        <x:f>Raw_Data!I70</x:f>
        <x:v>γ≈1.15</x:v>
      </x:c>
      <x:c r="J70" t="str">
        <x:f>Raw_Data!J70</x:f>
        <x:v>Train</x:v>
      </x:c>
    </x:row>
    <x:row r="71">
      <x:c r="A71">
        <x:v>69</x:v>
      </x:c>
      <x:c r="B71" t="n">
        <x:f>Raw_Data!C71</x:f>
        <x:v>4.72</x:v>
      </x:c>
      <x:c r="C71" t="n">
        <x:f>Raw_Data!A71/Reference_Stats!$B$8</x:f>
        <x:v>0.9514308217379907</x:v>
      </x:c>
      <x:c r="D71" t="n">
        <x:f>Raw_Data!H71</x:f>
        <x:v>1.204</x:v>
      </x:c>
      <x:c r="E71" t="n">
        <x:f>Raw_Data!F71/Raw_Data!A71</x:f>
        <x:v>5.791666666666667</x:v>
      </x:c>
      <x:c r="F71" t="n">
        <x:f>Raw_Data!D71/Raw_Data!A71</x:f>
        <x:v>2.0833333333333335</x:v>
      </x:c>
      <x:c r="G71" t="n">
        <x:f>Raw_Data!E71/Raw_Data!A71</x:f>
        <x:v>20.833333333333336</x:v>
      </x:c>
      <x:c r="H71" t="n">
        <x:f>Raw_Data!G71/Raw_Data!A71</x:f>
        <x:v>25.075</x:v>
      </x:c>
      <x:c r="I71" t="str">
        <x:f>Raw_Data!I71</x:f>
        <x:v>γ≈1.15</x:v>
      </x:c>
      <x:c r="J71" t="str">
        <x:f>Raw_Data!J71</x:f>
        <x:v>Test</x:v>
      </x:c>
    </x:row>
    <x:row r="72">
      <x:c r="A72">
        <x:v>70</x:v>
      </x:c>
      <x:c r="B72" t="n">
        <x:f>Raw_Data!C72</x:f>
        <x:v>6.09</x:v>
      </x:c>
      <x:c r="C72" t="n">
        <x:f>Raw_Data!A72/Reference_Stats!$B$8</x:f>
        <x:v>0.9910737726437403</x:v>
      </x:c>
      <x:c r="D72" t="n">
        <x:f>Raw_Data!H72</x:f>
        <x:v>1.207</x:v>
      </x:c>
      <x:c r="E72" t="n">
        <x:f>Raw_Data!F72/Raw_Data!A72</x:f>
        <x:v>7.68</x:v>
      </x:c>
      <x:c r="F72" t="n">
        <x:f>Raw_Data!D72/Raw_Data!A72</x:f>
        <x:v>3.2</x:v>
      </x:c>
      <x:c r="G72" t="n">
        <x:f>Raw_Data!E72/Raw_Data!A72</x:f>
        <x:v>29.2</x:v>
      </x:c>
      <x:c r="H72" t="n">
        <x:f>Raw_Data!G72/Raw_Data!A72</x:f>
        <x:v>35.256</x:v>
      </x:c>
      <x:c r="I72" t="str">
        <x:f>Raw_Data!I72</x:f>
        <x:v>γ≈1.15</x:v>
      </x:c>
      <x:c r="J72" t="str">
        <x:f>Raw_Data!J72</x:f>
        <x:v>Train</x:v>
      </x:c>
    </x:row>
    <x:row r="73">
      <x:c r="A73">
        <x:v>71</x:v>
      </x:c>
      <x:c r="B73" t="n">
        <x:f>Raw_Data!C73</x:f>
        <x:v>5.52</x:v>
      </x:c>
      <x:c r="C73" t="n">
        <x:f>Raw_Data!A73/Reference_Stats!$B$8</x:f>
        <x:v>1.2685744289839875</x:v>
      </x:c>
      <x:c r="D73" t="n">
        <x:f>Raw_Data!H73</x:f>
        <x:v>1.211</x:v>
      </x:c>
      <x:c r="E73" t="n">
        <x:f>Raw_Data!F73/Raw_Data!A73</x:f>
        <x:v>6.374999999999999</x:v>
      </x:c>
      <x:c r="F73" t="n">
        <x:f>Raw_Data!D73/Raw_Data!A73</x:f>
        <x:v>2.8125</x:v>
      </x:c>
      <x:c r="G73" t="n">
        <x:f>Raw_Data!E73/Raw_Data!A73</x:f>
        <x:v>24.375</x:v>
      </x:c>
      <x:c r="H73" t="n">
        <x:f>Raw_Data!G73/Raw_Data!A73</x:f>
        <x:v>29.528124999999996</x:v>
      </x:c>
      <x:c r="I73" t="str">
        <x:f>Raw_Data!I73</x:f>
        <x:v>γ≈1.15</x:v>
      </x:c>
      <x:c r="J73" t="str">
        <x:f>Raw_Data!J73</x:f>
        <x:v>Train</x:v>
      </x:c>
    </x:row>
    <x:row r="74">
      <x:c r="A74">
        <x:v>72</x:v>
      </x:c>
      <x:c r="B74" t="n">
        <x:f>Raw_Data!C74</x:f>
        <x:v>8.93</x:v>
      </x:c>
      <x:c r="C74" t="n">
        <x:f>Raw_Data!A74/Reference_Stats!$B$8</x:f>
        <x:v>0.911787870832241</x:v>
      </x:c>
      <x:c r="D74" t="n">
        <x:f>Raw_Data!H74</x:f>
        <x:v>1.218</x:v>
      </x:c>
      <x:c r="E74" t="n">
        <x:f>Raw_Data!F74/Raw_Data!A74</x:f>
        <x:v>11.956521739130435</x:v>
      </x:c>
      <x:c r="F74" t="n">
        <x:f>Raw_Data!D74/Raw_Data!A74</x:f>
        <x:v>5.217391304347826</x:v>
      </x:c>
      <x:c r="G74" t="n">
        <x:f>Raw_Data!E74/Raw_Data!A74</x:f>
        <x:v>45.21739130434783</x:v>
      </x:c>
      <x:c r="H74" t="n">
        <x:f>Raw_Data!G74/Raw_Data!A74</x:f>
        <x:v>55.05217391304348</x:v>
      </x:c>
      <x:c r="I74" t="str">
        <x:f>Raw_Data!I74</x:f>
        <x:v>γ≈1.15</x:v>
      </x:c>
      <x:c r="J74" t="str">
        <x:f>Raw_Data!J74</x:f>
        <x:v>Train</x:v>
      </x:c>
    </x:row>
    <x:row r="75">
      <x:c r="A75">
        <x:v>73</x:v>
      </x:c>
      <x:c r="B75" t="n">
        <x:f>Raw_Data!C75</x:f>
        <x:v>6.84</x:v>
      </x:c>
      <x:c r="C75" t="n">
        <x:f>Raw_Data!A75/Reference_Stats!$B$8</x:f>
        <x:v>0.9514308217379907</x:v>
      </x:c>
      <x:c r="D75" t="n">
        <x:f>Raw_Data!H75</x:f>
        <x:v>1.22</x:v>
      </x:c>
      <x:c r="E75" t="n">
        <x:f>Raw_Data!F75/Raw_Data!A75</x:f>
        <x:v>8.75</x:v>
      </x:c>
      <x:c r="F75" t="n">
        <x:f>Raw_Data!D75/Raw_Data!A75</x:f>
        <x:v>3.75</x:v>
      </x:c>
      <x:c r="G75" t="n">
        <x:f>Raw_Data!E75/Raw_Data!A75</x:f>
        <x:v>33.333333333333336</x:v>
      </x:c>
      <x:c r="H75" t="n">
        <x:f>Raw_Data!G75/Raw_Data!A75</x:f>
        <x:v>40.675000000000004</x:v>
      </x:c>
      <x:c r="I75" t="str">
        <x:f>Raw_Data!I75</x:f>
        <x:v>γ≈1.15</x:v>
      </x:c>
      <x:c r="J75" t="str">
        <x:f>Raw_Data!J75</x:f>
        <x:v>Train</x:v>
      </x:c>
    </x:row>
    <x:row r="76">
      <x:c r="A76">
        <x:v>74</x:v>
      </x:c>
      <x:c r="B76" t="n">
        <x:f>Raw_Data!C76</x:f>
        <x:v>5.17</x:v>
      </x:c>
      <x:c r="C76" t="n">
        <x:f>Raw_Data!A76/Reference_Stats!$B$8</x:f>
        <x:v>0.6342872144919938</x:v>
      </x:c>
      <x:c r="D76" t="n">
        <x:f>Raw_Data!H76</x:f>
        <x:v>1.23</x:v>
      </x:c>
      <x:c r="E76" t="n">
        <x:f>Raw_Data!F76/Raw_Data!A76</x:f>
        <x:v>6.4375</x:v>
      </x:c>
      <x:c r="F76" t="n">
        <x:f>Raw_Data!D76/Raw_Data!A76</x:f>
        <x:v>2.5</x:v>
      </x:c>
      <x:c r="G76" t="n">
        <x:f>Raw_Data!E76/Raw_Data!A76</x:f>
        <x:v>23.125</x:v>
      </x:c>
      <x:c r="H76" t="n">
        <x:f>Raw_Data!G76/Raw_Data!A76</x:f>
        <x:v>28.443749999999998</x:v>
      </x:c>
      <x:c r="I76" t="str">
        <x:f>Raw_Data!I76</x:f>
        <x:v>γ≈1.30</x:v>
      </x:c>
      <x:c r="J76" t="str">
        <x:f>Raw_Data!J76</x:f>
        <x:v>Train</x:v>
      </x:c>
    </x:row>
    <x:row r="77">
      <x:c r="A77">
        <x:v>75</x:v>
      </x:c>
      <x:c r="B77" t="n">
        <x:f>Raw_Data!C77</x:f>
        <x:v>9.12</x:v>
      </x:c>
      <x:c r="C77" t="n">
        <x:f>Raw_Data!A77/Reference_Stats!$B$8</x:f>
        <x:v>0.911787870832241</x:v>
      </x:c>
      <x:c r="D77" t="n">
        <x:f>Raw_Data!H77</x:f>
        <x:v>1.233</x:v>
      </x:c>
      <x:c r="E77" t="n">
        <x:f>Raw_Data!F77/Raw_Data!A77</x:f>
        <x:v>12.347826086956522</x:v>
      </x:c>
      <x:c r="F77" t="n">
        <x:f>Raw_Data!D77/Raw_Data!A77</x:f>
        <x:v>5.217391304347826</x:v>
      </x:c>
      <x:c r="G77" t="n">
        <x:f>Raw_Data!E77/Raw_Data!A77</x:f>
        <x:v>45.652173913043484</x:v>
      </x:c>
      <x:c r="H77" t="n">
        <x:f>Raw_Data!G77/Raw_Data!A77</x:f>
        <x:v>56.29130434782609</x:v>
      </x:c>
      <x:c r="I77" t="str">
        <x:f>Raw_Data!I77</x:f>
        <x:v>γ≈1.30</x:v>
      </x:c>
      <x:c r="J77" t="str">
        <x:f>Raw_Data!J77</x:f>
        <x:v>Test</x:v>
      </x:c>
    </x:row>
    <x:row r="78">
      <x:c r="A78">
        <x:v>76</x:v>
      </x:c>
      <x:c r="B78" t="n">
        <x:f>Raw_Data!C78</x:f>
        <x:v>4.92</x:v>
      </x:c>
      <x:c r="C78" t="n">
        <x:f>Raw_Data!A78/Reference_Stats!$B$8</x:f>
        <x:v>1.3478603307954866</x:v>
      </x:c>
      <x:c r="D78" t="n">
        <x:f>Raw_Data!H78</x:f>
        <x:v>1.237</x:v>
      </x:c>
      <x:c r="E78" t="n">
        <x:f>Raw_Data!F78/Raw_Data!A78</x:f>
        <x:v>5.8235294117647065</x:v>
      </x:c>
      <x:c r="F78" t="n">
        <x:f>Raw_Data!D78/Raw_Data!A78</x:f>
        <x:v>2.3529411764705883</x:v>
      </x:c>
      <x:c r="G78" t="n">
        <x:f>Raw_Data!E78/Raw_Data!A78</x:f>
        <x:v>20.58823529411765</x:v>
      </x:c>
      <x:c r="H78" t="n">
        <x:f>Raw_Data!G78/Raw_Data!A78</x:f>
        <x:v>25.470588235294116</x:v>
      </x:c>
      <x:c r="I78" t="str">
        <x:f>Raw_Data!I78</x:f>
        <x:v>γ≈1.30</x:v>
      </x:c>
      <x:c r="J78" t="str">
        <x:f>Raw_Data!J78</x:f>
        <x:v>Train</x:v>
      </x:c>
    </x:row>
    <x:row r="79">
      <x:c r="A79">
        <x:v>77</x:v>
      </x:c>
      <x:c r="B79" t="n">
        <x:f>Raw_Data!C79</x:f>
        <x:v>5.49</x:v>
      </x:c>
      <x:c r="C79" t="n">
        <x:f>Raw_Data!A79/Reference_Stats!$B$8</x:f>
        <x:v>0.9910737726437403</x:v>
      </x:c>
      <x:c r="D79" t="n">
        <x:f>Raw_Data!H79</x:f>
        <x:v>1.244</x:v>
      </x:c>
      <x:c r="E79" t="n">
        <x:f>Raw_Data!F79/Raw_Data!A79</x:f>
        <x:v>6.88</x:v>
      </x:c>
      <x:c r="F79" t="n">
        <x:f>Raw_Data!D79/Raw_Data!A79</x:f>
        <x:v>2.8</x:v>
      </x:c>
      <x:c r="G79" t="n">
        <x:f>Raw_Data!E79/Raw_Data!A79</x:f>
        <x:v>24.8</x:v>
      </x:c>
      <x:c r="H79" t="n">
        <x:f>Raw_Data!G79/Raw_Data!A79</x:f>
        <x:v>30.851999999999997</x:v>
      </x:c>
      <x:c r="I79" t="str">
        <x:f>Raw_Data!I79</x:f>
        <x:v>γ≈1.30</x:v>
      </x:c>
      <x:c r="J79" t="str">
        <x:f>Raw_Data!J79</x:f>
        <x:v>Test</x:v>
      </x:c>
    </x:row>
    <x:row r="80">
      <x:c r="A80">
        <x:v>78</x:v>
      </x:c>
      <x:c r="B80" t="n">
        <x:f>Raw_Data!C80</x:f>
        <x:v>6.38</x:v>
      </x:c>
      <x:c r="C80" t="n">
        <x:f>Raw_Data!A80/Reference_Stats!$B$8</x:f>
        <x:v>0.6342872144919938</x:v>
      </x:c>
      <x:c r="D80" t="n">
        <x:f>Raw_Data!H80</x:f>
        <x:v>1.245</x:v>
      </x:c>
      <x:c r="E80" t="n">
        <x:f>Raw_Data!F80/Raw_Data!A80</x:f>
        <x:v>7.937499999999999</x:v>
      </x:c>
      <x:c r="F80" t="n">
        <x:f>Raw_Data!D80/Raw_Data!A80</x:f>
        <x:v>3.125</x:v>
      </x:c>
      <x:c r="G80" t="n">
        <x:f>Raw_Data!E80/Raw_Data!A80</x:f>
        <x:v>30</x:v>
      </x:c>
      <x:c r="H80" t="n">
        <x:f>Raw_Data!G80/Raw_Data!A80</x:f>
        <x:v>37.35625</x:v>
      </x:c>
      <x:c r="I80" t="str">
        <x:f>Raw_Data!I80</x:f>
        <x:v>γ≈1.30</x:v>
      </x:c>
      <x:c r="J80" t="str">
        <x:f>Raw_Data!J80</x:f>
        <x:v>Train</x:v>
      </x:c>
    </x:row>
    <x:row r="81">
      <x:c r="A81">
        <x:v>79</x:v>
      </x:c>
      <x:c r="B81" t="n">
        <x:f>Raw_Data!C81</x:f>
        <x:v>6.06</x:v>
      </x:c>
      <x:c r="C81" t="n">
        <x:f>Raw_Data!A81/Reference_Stats!$B$8</x:f>
        <x:v>0.6342872144919938</x:v>
      </x:c>
      <x:c r="D81" t="n">
        <x:f>Raw_Data!H81</x:f>
        <x:v>1.247</x:v>
      </x:c>
      <x:c r="E81" t="n">
        <x:f>Raw_Data!F81/Raw_Data!A81</x:f>
        <x:v>6.8125</x:v>
      </x:c>
      <x:c r="F81" t="n">
        <x:f>Raw_Data!D81/Raw_Data!A81</x:f>
        <x:v>2.8125</x:v>
      </x:c>
      <x:c r="G81" t="n">
        <x:f>Raw_Data!E81/Raw_Data!A81</x:f>
        <x:v>28.125</x:v>
      </x:c>
      <x:c r="H81" t="n">
        <x:f>Raw_Data!G81/Raw_Data!A81</x:f>
        <x:v>35.0625</x:v>
      </x:c>
      <x:c r="I81" t="str">
        <x:f>Raw_Data!I81</x:f>
        <x:v>γ≈1.30</x:v>
      </x:c>
      <x:c r="J81" t="str">
        <x:f>Raw_Data!J81</x:f>
        <x:v>Train</x:v>
      </x:c>
    </x:row>
    <x:row r="82">
      <x:c r="A82">
        <x:v>80</x:v>
      </x:c>
      <x:c r="B82" t="n">
        <x:f>Raw_Data!C82</x:f>
        <x:v>3.86</x:v>
      </x:c>
      <x:c r="C82" t="n">
        <x:f>Raw_Data!A82/Reference_Stats!$B$8</x:f>
        <x:v>1.0703596744552395</x:v>
      </x:c>
      <x:c r="D82" t="n">
        <x:f>Raw_Data!H82</x:f>
        <x:v>1.25</x:v>
      </x:c>
      <x:c r="E82" t="n">
        <x:f>Raw_Data!F82/Raw_Data!A82</x:f>
        <x:v>4.777777777777778</x:v>
      </x:c>
      <x:c r="F82" t="n">
        <x:f>Raw_Data!D82/Raw_Data!A82</x:f>
        <x:v>1.6666666666666665</x:v>
      </x:c>
      <x:c r="G82" t="n">
        <x:f>Raw_Data!E82/Raw_Data!A82</x:f>
        <x:v>14.814814814814813</x:v>
      </x:c>
      <x:c r="H82" t="n">
        <x:f>Raw_Data!G82/Raw_Data!A82</x:f>
        <x:v>18.514814814814816</x:v>
      </x:c>
      <x:c r="I82" t="str">
        <x:f>Raw_Data!I82</x:f>
        <x:v>γ≈1.30</x:v>
      </x:c>
      <x:c r="J82" t="str">
        <x:f>Raw_Data!J82</x:f>
        <x:v>Train</x:v>
      </x:c>
    </x:row>
    <x:row r="83">
      <x:c r="A83">
        <x:v>81</x:v>
      </x:c>
      <x:c r="B83" t="n">
        <x:f>Raw_Data!C83</x:f>
        <x:v>5.98</x:v>
      </x:c>
      <x:c r="C83" t="n">
        <x:f>Raw_Data!A83/Reference_Stats!$B$8</x:f>
        <x:v>0.9514308217379907</x:v>
      </x:c>
      <x:c r="D83" t="n">
        <x:f>Raw_Data!H83</x:f>
        <x:v>1.273</x:v>
      </x:c>
      <x:c r="E83" t="n">
        <x:f>Raw_Data!F83/Raw_Data!A83</x:f>
        <x:v>7.375</x:v>
      </x:c>
      <x:c r="F83" t="n">
        <x:f>Raw_Data!D83/Raw_Data!A83</x:f>
        <x:v>2.916666666666667</x:v>
      </x:c>
      <x:c r="G83" t="n">
        <x:f>Raw_Data!E83/Raw_Data!A83</x:f>
        <x:v>27.083333333333336</x:v>
      </x:c>
      <x:c r="H83" t="n">
        <x:f>Raw_Data!G83/Raw_Data!A83</x:f>
        <x:v>34.46666666666667</x:v>
      </x:c>
      <x:c r="I83" t="str">
        <x:f>Raw_Data!I83</x:f>
        <x:v>γ≈1.30</x:v>
      </x:c>
      <x:c r="J83" t="str">
        <x:f>Raw_Data!J83</x:f>
        <x:v>Train</x:v>
      </x:c>
    </x:row>
    <x:row r="84">
      <x:c r="A84">
        <x:v>82</x:v>
      </x:c>
      <x:c r="B84" t="n">
        <x:f>Raw_Data!C84</x:f>
        <x:v>9.64</x:v>
      </x:c>
      <x:c r="C84" t="n">
        <x:f>Raw_Data!A84/Reference_Stats!$B$8</x:f>
        <x:v>0.6342872144919938</x:v>
      </x:c>
      <x:c r="D84" t="n">
        <x:f>Raw_Data!H84</x:f>
        <x:v>1.273</x:v>
      </x:c>
      <x:c r="E84" t="n">
        <x:f>Raw_Data!F84/Raw_Data!A84</x:f>
        <x:v>12.124999999999998</x:v>
      </x:c>
      <x:c r="F84" t="n">
        <x:f>Raw_Data!D84/Raw_Data!A84</x:f>
        <x:v>5.625</x:v>
      </x:c>
      <x:c r="G84" t="n">
        <x:f>Raw_Data!E84/Raw_Data!A84</x:f>
        <x:v>46.875</x:v>
      </x:c>
      <x:c r="H84" t="n">
        <x:f>Raw_Data!G84/Raw_Data!A84</x:f>
        <x:v>59.65625</x:v>
      </x:c>
      <x:c r="I84" t="str">
        <x:f>Raw_Data!I84</x:f>
        <x:v>γ≈1.30</x:v>
      </x:c>
      <x:c r="J84" t="str">
        <x:f>Raw_Data!J84</x:f>
        <x:v>Train</x:v>
      </x:c>
    </x:row>
    <x:row r="85">
      <x:c r="A85">
        <x:v>83</x:v>
      </x:c>
      <x:c r="B85" t="n">
        <x:f>Raw_Data!C85</x:f>
        <x:v>5.52</x:v>
      </x:c>
      <x:c r="C85" t="n">
        <x:f>Raw_Data!A85/Reference_Stats!$B$8</x:f>
        <x:v>0.9514308217379907</x:v>
      </x:c>
      <x:c r="D85" t="n">
        <x:f>Raw_Data!H85</x:f>
        <x:v>1.286</x:v>
      </x:c>
      <x:c r="E85" t="n">
        <x:f>Raw_Data!F85/Raw_Data!A85</x:f>
        <x:v>6.833333333333333</x:v>
      </x:c>
      <x:c r="F85" t="n">
        <x:f>Raw_Data!D85/Raw_Data!A85</x:f>
        <x:v>2.5</x:v>
      </x:c>
      <x:c r="G85" t="n">
        <x:f>Raw_Data!E85/Raw_Data!A85</x:f>
        <x:v>24.166666666666668</x:v>
      </x:c>
      <x:c r="H85" t="n">
        <x:f>Raw_Data!G85/Raw_Data!A85</x:f>
        <x:v>31.07916666666667</x:v>
      </x:c>
      <x:c r="I85" t="str">
        <x:f>Raw_Data!I85</x:f>
        <x:v>γ≈1.30</x:v>
      </x:c>
      <x:c r="J85" t="str">
        <x:f>Raw_Data!J85</x:f>
        <x:v>Test</x:v>
      </x:c>
    </x:row>
    <x:row r="86">
      <x:c r="A86">
        <x:v>84</x:v>
      </x:c>
      <x:c r="B86" t="n">
        <x:f>Raw_Data!C86</x:f>
        <x:v>3.93</x:v>
      </x:c>
      <x:c r="C86" t="n">
        <x:f>Raw_Data!A86/Reference_Stats!$B$8</x:f>
        <x:v>0.9910737726437403</x:v>
      </x:c>
      <x:c r="D86" t="n">
        <x:f>Raw_Data!H86</x:f>
        <x:v>1.287</x:v>
      </x:c>
      <x:c r="E86" t="n">
        <x:f>Raw_Data!F86/Raw_Data!A86</x:f>
        <x:v>4.68</x:v>
      </x:c>
      <x:c r="F86" t="n">
        <x:f>Raw_Data!D86/Raw_Data!A86</x:f>
        <x:v>1.6</x:v>
      </x:c>
      <x:c r="G86" t="n">
        <x:f>Raw_Data!E86/Raw_Data!A86</x:f>
        <x:v>14.8</x:v>
      </x:c>
      <x:c r="H86" t="n">
        <x:f>Raw_Data!G86/Raw_Data!A86</x:f>
        <x:v>19.048</x:v>
      </x:c>
      <x:c r="I86" t="str">
        <x:f>Raw_Data!I86</x:f>
        <x:v>γ≈1.30</x:v>
      </x:c>
      <x:c r="J86" t="str">
        <x:f>Raw_Data!J86</x:f>
        <x:v>Train</x:v>
      </x:c>
    </x:row>
    <x:row r="87">
      <x:c r="A87">
        <x:v>85</x:v>
      </x:c>
      <x:c r="B87" t="n">
        <x:f>Raw_Data!C87</x:f>
        <x:v>4.19</x:v>
      </x:c>
      <x:c r="C87" t="n">
        <x:f>Raw_Data!A87/Reference_Stats!$B$8</x:f>
        <x:v>1.0703596744552395</x:v>
      </x:c>
      <x:c r="D87" t="n">
        <x:f>Raw_Data!H87</x:f>
        <x:v>1.292</x:v>
      </x:c>
      <x:c r="E87" t="n">
        <x:f>Raw_Data!F87/Raw_Data!A87</x:f>
        <x:v>5.0740740740740735</x:v>
      </x:c>
      <x:c r="F87" t="n">
        <x:f>Raw_Data!D87/Raw_Data!A87</x:f>
        <x:v>1.8518518518518516</x:v>
      </x:c>
      <x:c r="G87" t="n">
        <x:f>Raw_Data!E87/Raw_Data!A87</x:f>
        <x:v>16.296296296296294</x:v>
      </x:c>
      <x:c r="H87" t="n">
        <x:f>Raw_Data!G87/Raw_Data!A87</x:f>
        <x:v>21.048148148148147</x:v>
      </x:c>
      <x:c r="I87" t="str">
        <x:f>Raw_Data!I87</x:f>
        <x:v>γ≈1.30</x:v>
      </x:c>
      <x:c r="J87" t="str">
        <x:f>Raw_Data!J87</x:f>
        <x:v>Test</x:v>
      </x:c>
    </x:row>
    <x:row r="88">
      <x:c r="A88">
        <x:v>86</x:v>
      </x:c>
      <x:c r="B88" t="n">
        <x:f>Raw_Data!C88</x:f>
        <x:v>4.27</x:v>
      </x:c>
      <x:c r="C88" t="n">
        <x:f>Raw_Data!A88/Reference_Stats!$B$8</x:f>
        <x:v>1.3478603307954866</x:v>
      </x:c>
      <x:c r="D88" t="n">
        <x:f>Raw_Data!H88</x:f>
        <x:v>1.292</x:v>
      </x:c>
      <x:c r="E88" t="n">
        <x:f>Raw_Data!F88/Raw_Data!A88</x:f>
        <x:v>4.911764705882353</x:v>
      </x:c>
      <x:c r="F88" t="n">
        <x:f>Raw_Data!D88/Raw_Data!A88</x:f>
        <x:v>1.7647058823529411</x:v>
      </x:c>
      <x:c r="G88" t="n">
        <x:f>Raw_Data!E88/Raw_Data!A88</x:f>
        <x:v>16.176470588235293</x:v>
      </x:c>
      <x:c r="H88" t="n">
        <x:f>Raw_Data!G88/Raw_Data!A88</x:f>
        <x:v>20.900000000000002</x:v>
      </x:c>
      <x:c r="I88" t="str">
        <x:f>Raw_Data!I88</x:f>
        <x:v>γ≈1.30</x:v>
      </x:c>
      <x:c r="J88" t="str">
        <x:f>Raw_Data!J88</x:f>
        <x:v>Train</x:v>
      </x:c>
    </x:row>
    <x:row r="89">
      <x:c r="A89">
        <x:v>87</x:v>
      </x:c>
      <x:c r="B89" t="n">
        <x:f>Raw_Data!C89</x:f>
        <x:v>7.79</x:v>
      </x:c>
      <x:c r="C89" t="n">
        <x:f>Raw_Data!A89/Reference_Stats!$B$8</x:f>
        <x:v>0.911787870832241</x:v>
      </x:c>
      <x:c r="D89" t="n">
        <x:f>Raw_Data!H89</x:f>
        <x:v>1.296</x:v>
      </x:c>
      <x:c r="E89" t="n">
        <x:f>Raw_Data!F89/Raw_Data!A89</x:f>
        <x:v>10</x:v>
      </x:c>
      <x:c r="F89" t="n">
        <x:f>Raw_Data!D89/Raw_Data!A89</x:f>
        <x:v>4.347826086956522</x:v>
      </x:c>
      <x:c r="G89" t="n">
        <x:f>Raw_Data!E89/Raw_Data!A89</x:f>
        <x:v>36.52173913043479</x:v>
      </x:c>
      <x:c r="H89" t="n">
        <x:f>Raw_Data!G89/Raw_Data!A89</x:f>
        <x:v>47.32608695652174</x:v>
      </x:c>
      <x:c r="I89" t="str">
        <x:f>Raw_Data!I89</x:f>
        <x:v>γ≈1.30</x:v>
      </x:c>
      <x:c r="J89" t="str">
        <x:f>Raw_Data!J89</x:f>
        <x:v>Test</x:v>
      </x:c>
    </x:row>
    <x:row r="90">
      <x:c r="A90">
        <x:v>88</x:v>
      </x:c>
      <x:c r="B90" t="n">
        <x:f>Raw_Data!C90</x:f>
        <x:v>4.71</x:v>
      </x:c>
      <x:c r="C90" t="n">
        <x:f>Raw_Data!A90/Reference_Stats!$B$8</x:f>
        <x:v>1.0307167235494898</x:v>
      </x:c>
      <x:c r="D90" t="n">
        <x:f>Raw_Data!H90</x:f>
        <x:v>1.299</x:v>
      </x:c>
      <x:c r="E90" t="n">
        <x:f>Raw_Data!F90/Raw_Data!A90</x:f>
        <x:v>5.538461538461538</x:v>
      </x:c>
      <x:c r="F90" t="n">
        <x:f>Raw_Data!D90/Raw_Data!A90</x:f>
        <x:v>2.1153846153846154</x:v>
      </x:c>
      <x:c r="G90" t="n">
        <x:f>Raw_Data!E90/Raw_Data!A90</x:f>
        <x:v>19.23076923076923</x:v>
      </x:c>
      <x:c r="H90" t="n">
        <x:f>Raw_Data!G90/Raw_Data!A90</x:f>
        <x:v>24.973076923076924</x:v>
      </x:c>
      <x:c r="I90" t="str">
        <x:f>Raw_Data!I90</x:f>
        <x:v>γ≈1.30</x:v>
      </x:c>
      <x:c r="J90" t="str">
        <x:f>Raw_Data!J90</x:f>
        <x:v>Test</x:v>
      </x:c>
    </x:row>
    <x:row r="91">
      <x:c r="A91">
        <x:v>89</x:v>
      </x:c>
      <x:c r="B91" t="n">
        <x:f>Raw_Data!C91</x:f>
        <x:v>5.07</x:v>
      </x:c>
      <x:c r="C91" t="n">
        <x:f>Raw_Data!A91/Reference_Stats!$B$8</x:f>
        <x:v>0.9910737726437403</x:v>
      </x:c>
      <x:c r="D91" t="n">
        <x:f>Raw_Data!H91</x:f>
        <x:v>1.306</x:v>
      </x:c>
      <x:c r="E91" t="n">
        <x:f>Raw_Data!F91/Raw_Data!A91</x:f>
        <x:v>6.12</x:v>
      </x:c>
      <x:c r="F91" t="n">
        <x:f>Raw_Data!D91/Raw_Data!A91</x:f>
        <x:v>2.4</x:v>
      </x:c>
      <x:c r="G91" t="n">
        <x:f>Raw_Data!E91/Raw_Data!A91</x:f>
        <x:v>21.2</x:v>
      </x:c>
      <x:c r="H91" t="n">
        <x:f>Raw_Data!G91/Raw_Data!A91</x:f>
        <x:v>27.683999999999997</x:v>
      </x:c>
      <x:c r="I91" t="str">
        <x:f>Raw_Data!I91</x:f>
        <x:v>γ≈1.30</x:v>
      </x:c>
      <x:c r="J91" t="str">
        <x:f>Raw_Data!J91</x:f>
        <x:v>Test</x:v>
      </x:c>
    </x:row>
    <x:row r="92">
      <x:c r="A92">
        <x:v>90</x:v>
      </x:c>
      <x:c r="B92" t="n">
        <x:f>Raw_Data!C92</x:f>
        <x:v>4.04</x:v>
      </x:c>
      <x:c r="C92" t="n">
        <x:f>Raw_Data!A92/Reference_Stats!$B$8</x:f>
        <x:v>0.6342872144919938</x:v>
      </x:c>
      <x:c r="D92" t="n">
        <x:f>Raw_Data!H92</x:f>
        <x:v>1.324</x:v>
      </x:c>
      <x:c r="E92" t="n">
        <x:f>Raw_Data!F92/Raw_Data!A92</x:f>
        <x:v>4.0625</x:v>
      </x:c>
      <x:c r="F92" t="n">
        <x:f>Raw_Data!D92/Raw_Data!A92</x:f>
        <x:v>1.5625</x:v>
      </x:c>
      <x:c r="G92" t="n">
        <x:f>Raw_Data!E92/Raw_Data!A92</x:f>
        <x:v>15</x:v>
      </x:c>
      <x:c r="H92" t="n">
        <x:f>Raw_Data!G92/Raw_Data!A92</x:f>
        <x:v>19.8625</x:v>
      </x:c>
      <x:c r="I92" t="str">
        <x:f>Raw_Data!I92</x:f>
        <x:v>γ≈1.30</x:v>
      </x:c>
      <x:c r="J92" t="str">
        <x:f>Raw_Data!J92</x:f>
        <x:v>Train</x:v>
      </x:c>
    </x:row>
    <x:row r="93">
      <x:c r="A93">
        <x:v>91</x:v>
      </x:c>
      <x:c r="B93" t="n">
        <x:f>Raw_Data!C93</x:f>
        <x:v>3.23</x:v>
      </x:c>
      <x:c r="C93" t="n">
        <x:f>Raw_Data!A93/Reference_Stats!$B$8</x:f>
        <x:v>1.7839327907587326</x:v>
      </x:c>
      <x:c r="D93" t="n">
        <x:f>Raw_Data!H93</x:f>
        <x:v>1.331</x:v>
      </x:c>
      <x:c r="E93" t="n">
        <x:f>Raw_Data!F93/Raw_Data!A93</x:f>
        <x:v>3.4222222222222225</x:v>
      </x:c>
      <x:c r="F93" t="n">
        <x:f>Raw_Data!D93/Raw_Data!A93</x:f>
        <x:v>1.1111111111111112</x:v>
      </x:c>
      <x:c r="G93" t="n">
        <x:f>Raw_Data!E93/Raw_Data!A93</x:f>
        <x:v>10</x:v>
      </x:c>
      <x:c r="H93" t="n">
        <x:f>Raw_Data!G93/Raw_Data!A93</x:f>
        <x:v>13.306666666666667</x:v>
      </x:c>
      <x:c r="I93" t="str">
        <x:f>Raw_Data!I93</x:f>
        <x:v>γ≈1.30</x:v>
      </x:c>
      <x:c r="J93" t="str">
        <x:f>Raw_Data!J93</x:f>
        <x:v>Train</x:v>
      </x:c>
    </x:row>
    <x:row r="94">
      <x:c r="A94">
        <x:v>92</x:v>
      </x:c>
      <x:c r="B94" t="n">
        <x:f>Raw_Data!C94</x:f>
        <x:v>7.2</x:v>
      </x:c>
      <x:c r="C94" t="n">
        <x:f>Raw_Data!A94/Reference_Stats!$B$8</x:f>
        <x:v>0.9514308217379907</x:v>
      </x:c>
      <x:c r="D94" t="n">
        <x:f>Raw_Data!H94</x:f>
        <x:v>1.331</x:v>
      </x:c>
      <x:c r="E94" t="n">
        <x:f>Raw_Data!F94/Raw_Data!A94</x:f>
        <x:v>9.25</x:v>
      </x:c>
      <x:c r="F94" t="n">
        <x:f>Raw_Data!D94/Raw_Data!A94</x:f>
        <x:v>3.75</x:v>
      </x:c>
      <x:c r="G94" t="n">
        <x:f>Raw_Data!E94/Raw_Data!A94</x:f>
        <x:v>32.5</x:v>
      </x:c>
      <x:c r="H94" t="n">
        <x:f>Raw_Data!G94/Raw_Data!A94</x:f>
        <x:v>43.25</x:v>
      </x:c>
      <x:c r="I94" t="str">
        <x:f>Raw_Data!I94</x:f>
        <x:v>γ≈1.30</x:v>
      </x:c>
      <x:c r="J94" t="str">
        <x:f>Raw_Data!J94</x:f>
        <x:v>Train</x:v>
      </x:c>
    </x:row>
    <x:row r="95">
      <x:c r="A95">
        <x:v>93</x:v>
      </x:c>
      <x:c r="B95" t="n">
        <x:f>Raw_Data!C95</x:f>
        <x:v>5.1</x:v>
      </x:c>
      <x:c r="C95" t="n">
        <x:f>Raw_Data!A95/Reference_Stats!$B$8</x:f>
        <x:v>1.3478603307954866</x:v>
      </x:c>
      <x:c r="D95" t="n">
        <x:f>Raw_Data!H95</x:f>
        <x:v>1.335</x:v>
      </x:c>
      <x:c r="E95" t="n">
        <x:f>Raw_Data!F95/Raw_Data!A95</x:f>
        <x:v>5.911764705882353</x:v>
      </x:c>
      <x:c r="F95" t="n">
        <x:f>Raw_Data!D95/Raw_Data!A95</x:f>
        <x:v>2.3529411764705883</x:v>
      </x:c>
      <x:c r="G95" t="n">
        <x:f>Raw_Data!E95/Raw_Data!A95</x:f>
        <x:v>20</x:v>
      </x:c>
      <x:c r="H95" t="n">
        <x:f>Raw_Data!G95/Raw_Data!A95</x:f>
        <x:v>26.702941176470592</x:v>
      </x:c>
      <x:c r="I95" t="str">
        <x:f>Raw_Data!I95</x:f>
        <x:v>γ≈1.30</x:v>
      </x:c>
      <x:c r="J95" t="str">
        <x:f>Raw_Data!J95</x:f>
        <x:v>Train</x:v>
      </x:c>
    </x:row>
    <x:row r="96">
      <x:c r="A96">
        <x:v>94</x:v>
      </x:c>
      <x:c r="B96" t="n">
        <x:f>Raw_Data!C96</x:f>
        <x:v>8.57</x:v>
      </x:c>
      <x:c r="C96" t="n">
        <x:f>Raw_Data!A96/Reference_Stats!$B$8</x:f>
        <x:v>0.911787870832241</x:v>
      </x:c>
      <x:c r="D96" t="n">
        <x:f>Raw_Data!H96</x:f>
        <x:v>1.346</x:v>
      </x:c>
      <x:c r="E96" t="n">
        <x:f>Raw_Data!F96/Raw_Data!A96</x:f>
        <x:v>11.000000000000002</x:v>
      </x:c>
      <x:c r="F96" t="n">
        <x:f>Raw_Data!D96/Raw_Data!A96</x:f>
        <x:v>4.782608695652175</x:v>
      </x:c>
      <x:c r="G96" t="n">
        <x:f>Raw_Data!E96/Raw_Data!A96</x:f>
        <x:v>39.130434782608695</x:v>
      </x:c>
      <x:c r="H96" t="n">
        <x:f>Raw_Data!G96/Raw_Data!A96</x:f>
        <x:v>52.65652173913044</x:v>
      </x:c>
      <x:c r="I96" t="str">
        <x:f>Raw_Data!I96</x:f>
        <x:v>γ≈1.30</x:v>
      </x:c>
      <x:c r="J96" t="str">
        <x:f>Raw_Data!J96</x:f>
        <x:v>Train</x:v>
      </x:c>
    </x:row>
    <x:row r="97">
      <x:c r="A97">
        <x:v>95</x:v>
      </x:c>
      <x:c r="B97" t="n">
        <x:f>Raw_Data!C97</x:f>
        <x:v>6.04</x:v>
      </x:c>
      <x:c r="C97" t="n">
        <x:f>Raw_Data!A97/Reference_Stats!$B$8</x:f>
        <x:v>1.2685744289839875</x:v>
      </x:c>
      <x:c r="D97" t="n">
        <x:f>Raw_Data!H97</x:f>
        <x:v>1.349</x:v>
      </x:c>
      <x:c r="E97" t="n">
        <x:f>Raw_Data!F97/Raw_Data!A97</x:f>
        <x:v>6.96875</x:v>
      </x:c>
      <x:c r="F97" t="n">
        <x:f>Raw_Data!D97/Raw_Data!A97</x:f>
        <x:v>2.8125</x:v>
      </x:c>
      <x:c r="G97" t="n">
        <x:f>Raw_Data!E97/Raw_Data!A97</x:f>
        <x:v>24.375</x:v>
      </x:c>
      <x:c r="H97" t="n">
        <x:f>Raw_Data!G97/Raw_Data!A97</x:f>
        <x:v>32.881249999999994</x:v>
      </x:c>
      <x:c r="I97" t="str">
        <x:f>Raw_Data!I97</x:f>
        <x:v>γ≈1.30</x:v>
      </x:c>
      <x:c r="J97" t="str">
        <x:f>Raw_Data!J97</x:f>
        <x:v>Train</x:v>
      </x:c>
    </x:row>
    <x:row r="98">
      <x:c r="A98">
        <x:v>96</x:v>
      </x:c>
      <x:c r="B98" t="n">
        <x:f>Raw_Data!C98</x:f>
        <x:v>7.93</x:v>
      </x:c>
      <x:c r="C98" t="n">
        <x:f>Raw_Data!A98/Reference_Stats!$B$8</x:f>
        <x:v>0.9514308217379907</x:v>
      </x:c>
      <x:c r="D98" t="n">
        <x:f>Raw_Data!H98</x:f>
        <x:v>1.349</x:v>
      </x:c>
      <x:c r="E98" t="n">
        <x:f>Raw_Data!F98/Raw_Data!A98</x:f>
        <x:v>10.083333333333334</x:v>
      </x:c>
      <x:c r="F98" t="n">
        <x:f>Raw_Data!D98/Raw_Data!A98</x:f>
        <x:v>4.166666666666667</x:v>
      </x:c>
      <x:c r="G98" t="n">
        <x:f>Raw_Data!E98/Raw_Data!A98</x:f>
        <x:v>35.833333333333336</x:v>
      </x:c>
      <x:c r="H98" t="n">
        <x:f>Raw_Data!G98/Raw_Data!A98</x:f>
        <x:v>48.34166666666667</x:v>
      </x:c>
      <x:c r="I98" t="str">
        <x:f>Raw_Data!I98</x:f>
        <x:v>γ≈1.30</x:v>
      </x:c>
      <x:c r="J98" t="str">
        <x:f>Raw_Data!J98</x:f>
        <x:v>Train</x:v>
      </x:c>
    </x:row>
    <x:row r="99">
      <x:c r="A99">
        <x:v>97</x:v>
      </x:c>
      <x:c r="B99" t="n">
        <x:f>Raw_Data!C99</x:f>
        <x:v>2.94</x:v>
      </x:c>
      <x:c r="C99" t="n">
        <x:f>Raw_Data!A99/Reference_Stats!$B$8</x:f>
        <x:v>1.110002625360989</x:v>
      </x:c>
      <x:c r="D99" t="n">
        <x:f>Raw_Data!H99</x:f>
        <x:v>1.351</x:v>
      </x:c>
      <x:c r="E99" t="n">
        <x:f>Raw_Data!F99/Raw_Data!A99</x:f>
        <x:v>3.4642857142857144</x:v>
      </x:c>
      <x:c r="F99" t="n">
        <x:f>Raw_Data!D99/Raw_Data!A99</x:f>
        <x:v>1.0714285714285714</x:v>
      </x:c>
      <x:c r="G99" t="n">
        <x:f>Raw_Data!E99/Raw_Data!A99</x:f>
        <x:v>8.392857142857144</x:v>
      </x:c>
      <x:c r="H99" t="n">
        <x:f>Raw_Data!G99/Raw_Data!A99</x:f>
        <x:v>11.342857142857143</x:v>
      </x:c>
      <x:c r="I99" t="str">
        <x:f>Raw_Data!I99</x:f>
        <x:v>γ≈1.30</x:v>
      </x:c>
      <x:c r="J99" t="str">
        <x:f>Raw_Data!J99</x:f>
        <x:v>Train</x:v>
      </x:c>
    </x:row>
    <x:row r="100">
      <x:c r="A100">
        <x:v>98</x:v>
      </x:c>
      <x:c r="B100" t="n">
        <x:f>Raw_Data!C100</x:f>
        <x:v>4.83</x:v>
      </x:c>
      <x:c r="C100" t="n">
        <x:f>Raw_Data!A100/Reference_Stats!$B$8</x:f>
        <x:v>0.9514308217379907</x:v>
      </x:c>
      <x:c r="D100" t="n">
        <x:f>Raw_Data!H100</x:f>
        <x:v>1.352</x:v>
      </x:c>
      <x:c r="E100" t="n">
        <x:f>Raw_Data!F100/Raw_Data!A100</x:f>
        <x:v>5.916666666666667</x:v>
      </x:c>
      <x:c r="F100" t="n">
        <x:f>Raw_Data!D100/Raw_Data!A100</x:f>
        <x:v>2.0833333333333335</x:v>
      </x:c>
      <x:c r="G100" t="n">
        <x:f>Raw_Data!E100/Raw_Data!A100</x:f>
        <x:v>19.166666666666668</x:v>
      </x:c>
      <x:c r="H100" t="n">
        <x:f>Raw_Data!G100/Raw_Data!A100</x:f>
        <x:v>25.908333333333335</x:v>
      </x:c>
      <x:c r="I100" t="str">
        <x:f>Raw_Data!I100</x:f>
        <x:v>γ≈1.30</x:v>
      </x:c>
      <x:c r="J100" t="str">
        <x:f>Raw_Data!J100</x:f>
        <x:v>Train</x:v>
      </x:c>
    </x:row>
    <x:row r="101">
      <x:c r="A101">
        <x:v>99</x:v>
      </x:c>
      <x:c r="B101" t="n">
        <x:f>Raw_Data!C101</x:f>
        <x:v>3.56</x:v>
      </x:c>
      <x:c r="C101" t="n">
        <x:f>Raw_Data!A101/Reference_Stats!$B$8</x:f>
        <x:v>1.7839327907587326</x:v>
      </x:c>
      <x:c r="D101" t="n">
        <x:f>Raw_Data!H101</x:f>
        <x:v>1.361</x:v>
      </x:c>
      <x:c r="E101" t="n">
        <x:f>Raw_Data!F101/Raw_Data!A101</x:f>
        <x:v>4</x:v>
      </x:c>
      <x:c r="F101" t="n">
        <x:f>Raw_Data!D101/Raw_Data!A101</x:f>
        <x:v>1.3333333333333333</x:v>
      </x:c>
      <x:c r="G101" t="n">
        <x:f>Raw_Data!E101/Raw_Data!A101</x:f>
        <x:v>11.555555555555555</x:v>
      </x:c>
      <x:c r="H101" t="n">
        <x:f>Raw_Data!G101/Raw_Data!A101</x:f>
        <x:v>15.724444444444446</x:v>
      </x:c>
      <x:c r="I101" t="str">
        <x:f>Raw_Data!I101</x:f>
        <x:v>γ≈1.30</x:v>
      </x:c>
      <x:c r="J101" t="str">
        <x:f>Raw_Data!J101</x:f>
        <x:v>Train</x:v>
      </x:c>
    </x:row>
    <x:row r="102">
      <x:c r="A102">
        <x:v>100</x:v>
      </x:c>
      <x:c r="B102" t="n">
        <x:f>Raw_Data!C102</x:f>
        <x:v>3.75</x:v>
      </x:c>
      <x:c r="C102" t="n">
        <x:f>Raw_Data!A102/Reference_Stats!$B$8</x:f>
        <x:v>1.3478603307954866</x:v>
      </x:c>
      <x:c r="D102" t="n">
        <x:f>Raw_Data!H102</x:f>
        <x:v>1.371</x:v>
      </x:c>
      <x:c r="E102" t="n">
        <x:f>Raw_Data!F102/Raw_Data!A102</x:f>
        <x:v>4.352941176470589</x:v>
      </x:c>
      <x:c r="F102" t="n">
        <x:f>Raw_Data!D102/Raw_Data!A102</x:f>
        <x:v>1.4705882352941178</x:v>
      </x:c>
      <x:c r="G102" t="n">
        <x:f>Raw_Data!E102/Raw_Data!A102</x:f>
        <x:v>12.5</x:v>
      </x:c>
      <x:c r="H102" t="n">
        <x:f>Raw_Data!G102/Raw_Data!A102</x:f>
        <x:v>17.13529411764706</x:v>
      </x:c>
      <x:c r="I102" t="str">
        <x:f>Raw_Data!I102</x:f>
        <x:v>γ≈1.30</x:v>
      </x:c>
      <x:c r="J102" t="str">
        <x:f>Raw_Data!J102</x:f>
        <x:v>Train</x:v>
      </x:c>
    </x:row>
    <x:row r="103">
      <x:c r="A103">
        <x:v>101</x:v>
      </x:c>
      <x:c r="B103" t="n">
        <x:f>Raw_Data!C103</x:f>
        <x:v>4.48</x:v>
      </x:c>
      <x:c r="C103" t="n">
        <x:f>Raw_Data!A103/Reference_Stats!$B$8</x:f>
        <x:v>0.6342872144919938</x:v>
      </x:c>
      <x:c r="D103" t="n">
        <x:f>Raw_Data!H103</x:f>
        <x:v>1.376</x:v>
      </x:c>
      <x:c r="E103" t="n">
        <x:f>Raw_Data!F103/Raw_Data!A103</x:f>
        <x:v>5.1875</x:v>
      </x:c>
      <x:c r="F103" t="n">
        <x:f>Raw_Data!D103/Raw_Data!A103</x:f>
        <x:v>1.875</x:v>
      </x:c>
      <x:c r="G103" t="n">
        <x:f>Raw_Data!E103/Raw_Data!A103</x:f>
        <x:v>16.875</x:v>
      </x:c>
      <x:c r="H103" t="n">
        <x:f>Raw_Data!G103/Raw_Data!A103</x:f>
        <x:v>23.218749999999996</x:v>
      </x:c>
      <x:c r="I103" t="str">
        <x:f>Raw_Data!I103</x:f>
        <x:v>γ≈1.45</x:v>
      </x:c>
      <x:c r="J103" t="str">
        <x:f>Raw_Data!J103</x:f>
        <x:v>Train</x:v>
      </x:c>
    </x:row>
    <x:row r="104">
      <x:c r="A104">
        <x:v>102</x:v>
      </x:c>
      <x:c r="B104" t="n">
        <x:f>Raw_Data!C104</x:f>
        <x:v>5.23</x:v>
      </x:c>
      <x:c r="C104" t="n">
        <x:f>Raw_Data!A104/Reference_Stats!$B$8</x:f>
        <x:v>1.3478603307954866</x:v>
      </x:c>
      <x:c r="D104" t="n">
        <x:f>Raw_Data!H104</x:f>
        <x:v>1.38</x:v>
      </x:c>
      <x:c r="E104" t="n">
        <x:f>Raw_Data!F104/Raw_Data!A104</x:f>
        <x:v>5.970588235294118</x:v>
      </x:c>
      <x:c r="F104" t="n">
        <x:f>Raw_Data!D104/Raw_Data!A104</x:f>
        <x:v>2.3529411764705883</x:v>
      </x:c>
      <x:c r="G104" t="n">
        <x:f>Raw_Data!E104/Raw_Data!A104</x:f>
        <x:v>20</x:v>
      </x:c>
      <x:c r="H104" t="n">
        <x:f>Raw_Data!G104/Raw_Data!A104</x:f>
        <x:v>27.591176470588238</x:v>
      </x:c>
      <x:c r="I104" t="str">
        <x:f>Raw_Data!I104</x:f>
        <x:v>γ≈1.45</x:v>
      </x:c>
      <x:c r="J104" t="str">
        <x:f>Raw_Data!J104</x:f>
        <x:v>Train</x:v>
      </x:c>
    </x:row>
    <x:row r="105">
      <x:c r="A105">
        <x:v>103</x:v>
      </x:c>
      <x:c r="B105" t="n">
        <x:f>Raw_Data!C105</x:f>
        <x:v>6.75</x:v>
      </x:c>
      <x:c r="C105" t="n">
        <x:f>Raw_Data!A105/Reference_Stats!$B$8</x:f>
        <x:v>0.9910737726437403</x:v>
      </x:c>
      <x:c r="D105" t="n">
        <x:f>Raw_Data!H105</x:f>
        <x:v>1.389</x:v>
      </x:c>
      <x:c r="E105" t="n">
        <x:f>Raw_Data!F105/Raw_Data!A105</x:f>
        <x:v>8.4</x:v>
      </x:c>
      <x:c r="F105" t="n">
        <x:f>Raw_Data!D105/Raw_Data!A105</x:f>
        <x:v>3.2</x:v>
      </x:c>
      <x:c r="G105" t="n">
        <x:f>Raw_Data!E105/Raw_Data!A105</x:f>
        <x:v>28.8</x:v>
      </x:c>
      <x:c r="H105" t="n">
        <x:f>Raw_Data!G105/Raw_Data!A105</x:f>
        <x:v>40.016000000000005</x:v>
      </x:c>
      <x:c r="I105" t="str">
        <x:f>Raw_Data!I105</x:f>
        <x:v>γ≈1.45</x:v>
      </x:c>
      <x:c r="J105" t="str">
        <x:f>Raw_Data!J105</x:f>
        <x:v>Test</x:v>
      </x:c>
    </x:row>
    <x:row r="106">
      <x:c r="A106">
        <x:v>104</x:v>
      </x:c>
      <x:c r="B106" t="n">
        <x:f>Raw_Data!C106</x:f>
        <x:v>5.84</x:v>
      </x:c>
      <x:c r="C106" t="n">
        <x:f>Raw_Data!A106/Reference_Stats!$B$8</x:f>
        <x:v>0.9910737726437403</x:v>
      </x:c>
      <x:c r="D106" t="n">
        <x:f>Raw_Data!H106</x:f>
        <x:v>1.392</x:v>
      </x:c>
      <x:c r="E106" t="n">
        <x:f>Raw_Data!F106/Raw_Data!A106</x:f>
        <x:v>7.279999999999999</x:v>
      </x:c>
      <x:c r="F106" t="n">
        <x:f>Raw_Data!D106/Raw_Data!A106</x:f>
        <x:v>2.8</x:v>
      </x:c>
      <x:c r="G106" t="n">
        <x:f>Raw_Data!E106/Raw_Data!A106</x:f>
        <x:v>24</x:v>
      </x:c>
      <x:c r="H106" t="n">
        <x:f>Raw_Data!G106/Raw_Data!A106</x:f>
        <x:v>33.412</x:v>
      </x:c>
      <x:c r="I106" t="str">
        <x:f>Raw_Data!I106</x:f>
        <x:v>γ≈1.45</x:v>
      </x:c>
      <x:c r="J106" t="str">
        <x:f>Raw_Data!J106</x:f>
        <x:v>Train</x:v>
      </x:c>
    </x:row>
    <x:row r="107">
      <x:c r="A107">
        <x:v>105</x:v>
      </x:c>
      <x:c r="B107" t="n">
        <x:f>Raw_Data!C107</x:f>
        <x:v>4.8</x:v>
      </x:c>
      <x:c r="C107" t="n">
        <x:f>Raw_Data!A107/Reference_Stats!$B$8</x:f>
        <x:v>1.3478603307954866</x:v>
      </x:c>
      <x:c r="D107" t="n">
        <x:f>Raw_Data!H107</x:f>
        <x:v>1.395</x:v>
      </x:c>
      <x:c r="E107" t="n">
        <x:f>Raw_Data!F107/Raw_Data!A107</x:f>
        <x:v>5.382352941176471</x:v>
      </x:c>
      <x:c r="F107" t="n">
        <x:f>Raw_Data!D107/Raw_Data!A107</x:f>
        <x:v>2.058823529411765</x:v>
      </x:c>
      <x:c r="G107" t="n">
        <x:f>Raw_Data!E107/Raw_Data!A107</x:f>
        <x:v>17.647058823529413</x:v>
      </x:c>
      <x:c r="H107" t="n">
        <x:f>Raw_Data!G107/Raw_Data!A107</x:f>
        <x:v>24.617647058823533</x:v>
      </x:c>
      <x:c r="I107" t="str">
        <x:f>Raw_Data!I107</x:f>
        <x:v>γ≈1.45</x:v>
      </x:c>
      <x:c r="J107" t="str">
        <x:f>Raw_Data!J107</x:f>
        <x:v>Train</x:v>
      </x:c>
    </x:row>
    <x:row r="108">
      <x:c r="A108">
        <x:v>106</x:v>
      </x:c>
      <x:c r="B108" t="n">
        <x:f>Raw_Data!C108</x:f>
        <x:v>7.29</x:v>
      </x:c>
      <x:c r="C108" t="n">
        <x:f>Raw_Data!A108/Reference_Stats!$B$8</x:f>
        <x:v>0.9514308217379907</x:v>
      </x:c>
      <x:c r="D108" t="n">
        <x:f>Raw_Data!H108</x:f>
        <x:v>1.404</x:v>
      </x:c>
      <x:c r="E108" t="n">
        <x:f>Raw_Data!F108/Raw_Data!A108</x:f>
        <x:v>9.000000000000002</x:v>
      </x:c>
      <x:c r="F108" t="n">
        <x:f>Raw_Data!D108/Raw_Data!A108</x:f>
        <x:v>3.75</x:v>
      </x:c>
      <x:c r="G108" t="n">
        <x:f>Raw_Data!E108/Raw_Data!A108</x:f>
        <x:v>31.25</x:v>
      </x:c>
      <x:c r="H108" t="n">
        <x:f>Raw_Data!G108/Raw_Data!A108</x:f>
        <x:v>43.87083333333334</x:v>
      </x:c>
      <x:c r="I108" t="str">
        <x:f>Raw_Data!I108</x:f>
        <x:v>γ≈1.45</x:v>
      </x:c>
      <x:c r="J108" t="str">
        <x:f>Raw_Data!J108</x:f>
        <x:v>Train</x:v>
      </x:c>
    </x:row>
    <x:row r="109">
      <x:c r="A109">
        <x:v>107</x:v>
      </x:c>
      <x:c r="B109" t="n">
        <x:f>Raw_Data!C109</x:f>
        <x:v>9.01</x:v>
      </x:c>
      <x:c r="C109" t="n">
        <x:f>Raw_Data!A109/Reference_Stats!$B$8</x:f>
        <x:v>0.911787870832241</x:v>
      </x:c>
      <x:c r="D109" t="n">
        <x:f>Raw_Data!H109</x:f>
        <x:v>1.421</x:v>
      </x:c>
      <x:c r="E109" t="n">
        <x:f>Raw_Data!F109/Raw_Data!A109</x:f>
        <x:v>11.608695652173914</x:v>
      </x:c>
      <x:c r="F109" t="n">
        <x:f>Raw_Data!D109/Raw_Data!A109</x:f>
        <x:v>4.782608695652175</x:v>
      </x:c>
      <x:c r="G109" t="n">
        <x:f>Raw_Data!E109/Raw_Data!A109</x:f>
        <x:v>39.130434782608695</x:v>
      </x:c>
      <x:c r="H109" t="n">
        <x:f>Raw_Data!G109/Raw_Data!A109</x:f>
        <x:v>55.58695652173913</x:v>
      </x:c>
      <x:c r="I109" t="str">
        <x:f>Raw_Data!I109</x:f>
        <x:v>γ≈1.45</x:v>
      </x:c>
      <x:c r="J109" t="str">
        <x:f>Raw_Data!J109</x:f>
        <x:v>Train</x:v>
      </x:c>
    </x:row>
    <x:row r="110">
      <x:c r="A110">
        <x:v>108</x:v>
      </x:c>
      <x:c r="B110" t="n">
        <x:f>Raw_Data!C110</x:f>
        <x:v>8.17</x:v>
      </x:c>
      <x:c r="C110" t="n">
        <x:f>Raw_Data!A110/Reference_Stats!$B$8</x:f>
        <x:v>0.911787870832241</x:v>
      </x:c>
      <x:c r="D110" t="n">
        <x:f>Raw_Data!H110</x:f>
        <x:v>1.435</x:v>
      </x:c>
      <x:c r="E110" t="n">
        <x:f>Raw_Data!F110/Raw_Data!A110</x:f>
        <x:v>10.434782608695652</x:v>
      </x:c>
      <x:c r="F110" t="n">
        <x:f>Raw_Data!D110/Raw_Data!A110</x:f>
        <x:v>4.347826086956522</x:v>
      </x:c>
      <x:c r="G110" t="n">
        <x:f>Raw_Data!E110/Raw_Data!A110</x:f>
        <x:v>34.78260869565218</x:v>
      </x:c>
      <x:c r="H110" t="n">
        <x:f>Raw_Data!G110/Raw_Data!A110</x:f>
        <x:v>49.92173913043478</x:v>
      </x:c>
      <x:c r="I110" t="str">
        <x:f>Raw_Data!I110</x:f>
        <x:v>γ≈1.45</x:v>
      </x:c>
      <x:c r="J110" t="str">
        <x:f>Raw_Data!J110</x:f>
        <x:v>Test</x:v>
      </x:c>
    </x:row>
    <x:row r="111">
      <x:c r="A111">
        <x:v>109</x:v>
      </x:c>
      <x:c r="B111" t="n">
        <x:f>Raw_Data!C111</x:f>
        <x:v>8.85</x:v>
      </x:c>
      <x:c r="C111" t="n">
        <x:f>Raw_Data!A111/Reference_Stats!$B$8</x:f>
        <x:v>0.9514308217379907</x:v>
      </x:c>
      <x:c r="D111" t="n">
        <x:f>Raw_Data!H111</x:f>
        <x:v>1.454</x:v>
      </x:c>
      <x:c r="E111" t="n">
        <x:f>Raw_Data!F111/Raw_Data!A111</x:f>
        <x:v>10.625</x:v>
      </x:c>
      <x:c r="F111" t="n">
        <x:f>Raw_Data!D111/Raw_Data!A111</x:f>
        <x:v>4.583333333333334</x:v>
      </x:c>
      <x:c r="G111" t="n">
        <x:f>Raw_Data!E111/Raw_Data!A111</x:f>
        <x:v>37.5</x:v>
      </x:c>
      <x:c r="H111" t="n">
        <x:f>Raw_Data!G111/Raw_Data!A111</x:f>
        <x:v>54.520833333333336</x:v>
      </x:c>
      <x:c r="I111" t="str">
        <x:f>Raw_Data!I111</x:f>
        <x:v>γ≈1.45</x:v>
      </x:c>
      <x:c r="J111" t="str">
        <x:f>Raw_Data!J111</x:f>
        <x:v>Train</x:v>
      </x:c>
    </x:row>
    <x:row r="112">
      <x:c r="A112">
        <x:v>110</x:v>
      </x:c>
      <x:c r="B112" t="n">
        <x:f>Raw_Data!C112</x:f>
        <x:v>5.02</x:v>
      </x:c>
      <x:c r="C112" t="n">
        <x:f>Raw_Data!A112/Reference_Stats!$B$8</x:f>
        <x:v>0.9514308217379907</x:v>
      </x:c>
      <x:c r="D112" t="n">
        <x:f>Raw_Data!H112</x:f>
        <x:v>1.459</x:v>
      </x:c>
      <x:c r="E112" t="n">
        <x:f>Raw_Data!F112/Raw_Data!A112</x:f>
        <x:v>6.041666666666667</x:v>
      </x:c>
      <x:c r="F112" t="n">
        <x:f>Raw_Data!D112/Raw_Data!A112</x:f>
        <x:v>2.0833333333333335</x:v>
      </x:c>
      <x:c r="G112" t="n">
        <x:f>Raw_Data!E112/Raw_Data!A112</x:f>
        <x:v>18.75</x:v>
      </x:c>
      <x:c r="H112" t="n">
        <x:f>Raw_Data!G112/Raw_Data!A112</x:f>
        <x:v>27.35</x:v>
      </x:c>
      <x:c r="I112" t="str">
        <x:f>Raw_Data!I112</x:f>
        <x:v>γ≈1.45</x:v>
      </x:c>
      <x:c r="J112" t="str">
        <x:f>Raw_Data!J112</x:f>
        <x:v>Train</x:v>
      </x:c>
    </x:row>
    <x:row r="113">
      <x:c r="A113">
        <x:v>111</x:v>
      </x:c>
      <x:c r="B113" t="n">
        <x:f>Raw_Data!C113</x:f>
        <x:v>7.63</x:v>
      </x:c>
      <x:c r="C113" t="n">
        <x:f>Raw_Data!A113/Reference_Stats!$B$8</x:f>
        <x:v>0.9514308217379907</x:v>
      </x:c>
      <x:c r="D113" t="n">
        <x:f>Raw_Data!H113</x:f>
        <x:v>1.461</x:v>
      </x:c>
      <x:c r="E113" t="n">
        <x:f>Raw_Data!F113/Raw_Data!A113</x:f>
        <x:v>9.583333333333334</x:v>
      </x:c>
      <x:c r="F113" t="n">
        <x:f>Raw_Data!D113/Raw_Data!A113</x:f>
        <x:v>3.75</x:v>
      </x:c>
      <x:c r="G113" t="n">
        <x:f>Raw_Data!E113/Raw_Data!A113</x:f>
        <x:v>31.666666666666668</x:v>
      </x:c>
      <x:c r="H113" t="n">
        <x:f>Raw_Data!G113/Raw_Data!A113</x:f>
        <x:v>46.2625</x:v>
      </x:c>
      <x:c r="I113" t="str">
        <x:f>Raw_Data!I113</x:f>
        <x:v>γ≈1.45</x:v>
      </x:c>
      <x:c r="J113" t="str">
        <x:f>Raw_Data!J113</x:f>
        <x:v>Train</x:v>
      </x:c>
    </x:row>
    <x:row r="114">
      <x:c r="A114">
        <x:v>112</x:v>
      </x:c>
      <x:c r="B114" t="n">
        <x:f>Raw_Data!C114</x:f>
        <x:v>7.05</x:v>
      </x:c>
      <x:c r="C114" t="n">
        <x:f>Raw_Data!A114/Reference_Stats!$B$8</x:f>
        <x:v>0.9910737726437403</x:v>
      </x:c>
      <x:c r="D114" t="n">
        <x:f>Raw_Data!H114</x:f>
        <x:v>1.464</x:v>
      </x:c>
      <x:c r="E114" t="n">
        <x:f>Raw_Data!F114/Raw_Data!A114</x:f>
        <x:v>8.559999999999999</x:v>
      </x:c>
      <x:c r="F114" t="n">
        <x:f>Raw_Data!D114/Raw_Data!A114</x:f>
        <x:v>3.2</x:v>
      </x:c>
      <x:c r="G114" t="n">
        <x:f>Raw_Data!E114/Raw_Data!A114</x:f>
        <x:v>28.8</x:v>
      </x:c>
      <x:c r="H114" t="n">
        <x:f>Raw_Data!G114/Raw_Data!A114</x:f>
        <x:v>42.152</x:v>
      </x:c>
      <x:c r="I114" t="str">
        <x:f>Raw_Data!I114</x:f>
        <x:v>γ≈1.45</x:v>
      </x:c>
      <x:c r="J114" t="str">
        <x:f>Raw_Data!J114</x:f>
        <x:v>Train</x:v>
      </x:c>
    </x:row>
    <x:row r="115">
      <x:c r="A115">
        <x:v>113</x:v>
      </x:c>
      <x:c r="B115" t="n">
        <x:f>Raw_Data!C115</x:f>
        <x:v>5.47</x:v>
      </x:c>
      <x:c r="C115" t="n">
        <x:f>Raw_Data!A115/Reference_Stats!$B$8</x:f>
        <x:v>0.9910737726437403</x:v>
      </x:c>
      <x:c r="D115" t="n">
        <x:f>Raw_Data!H115</x:f>
        <x:v>1.477</x:v>
      </x:c>
      <x:c r="E115" t="n">
        <x:f>Raw_Data!F115/Raw_Data!A115</x:f>
        <x:v>6.44</x:v>
      </x:c>
      <x:c r="F115" t="n">
        <x:f>Raw_Data!D115/Raw_Data!A115</x:f>
        <x:v>2.4</x:v>
      </x:c>
      <x:c r="G115" t="n">
        <x:f>Raw_Data!E115/Raw_Data!A115</x:f>
        <x:v>20.8</x:v>
      </x:c>
      <x:c r="H115" t="n">
        <x:f>Raw_Data!G115/Raw_Data!A115</x:f>
        <x:v>30.724</x:v>
      </x:c>
      <x:c r="I115" t="str">
        <x:f>Raw_Data!I115</x:f>
        <x:v>γ≈1.45</x:v>
      </x:c>
      <x:c r="J115" t="str">
        <x:f>Raw_Data!J115</x:f>
        <x:v>Train</x:v>
      </x:c>
    </x:row>
    <x:row r="116">
      <x:c r="A116">
        <x:v>114</x:v>
      </x:c>
      <x:c r="B116" t="n">
        <x:f>Raw_Data!C116</x:f>
        <x:v>6.39</x:v>
      </x:c>
      <x:c r="C116" t="n">
        <x:f>Raw_Data!A116/Reference_Stats!$B$8</x:f>
        <x:v>0.9514308217379907</x:v>
      </x:c>
      <x:c r="D116" t="n">
        <x:f>Raw_Data!H116</x:f>
        <x:v>1.498</x:v>
      </x:c>
      <x:c r="E116" t="n">
        <x:f>Raw_Data!F116/Raw_Data!A116</x:f>
        <x:v>7.750000000000001</x:v>
      </x:c>
      <x:c r="F116" t="n">
        <x:f>Raw_Data!D116/Raw_Data!A116</x:f>
        <x:v>2.916666666666667</x:v>
      </x:c>
      <x:c r="G116" t="n">
        <x:f>Raw_Data!E116/Raw_Data!A116</x:f>
        <x:v>25</x:v>
      </x:c>
      <x:c r="H116" t="n">
        <x:f>Raw_Data!G116/Raw_Data!A116</x:f>
        <x:v>37.45</x:v>
      </x:c>
      <x:c r="I116" t="str">
        <x:f>Raw_Data!I116</x:f>
        <x:v>γ≈1.45</x:v>
      </x:c>
      <x:c r="J116" t="str">
        <x:f>Raw_Data!J116</x:f>
        <x:v>Train</x:v>
      </x:c>
    </x:row>
    <x:row r="117">
      <x:c r="A117">
        <x:v>115</x:v>
      </x:c>
      <x:c r="B117" t="n">
        <x:f>Raw_Data!C117</x:f>
        <x:v>7.85</x:v>
      </x:c>
      <x:c r="C117" t="n">
        <x:f>Raw_Data!A117/Reference_Stats!$B$8</x:f>
        <x:v>0.9514308217379907</x:v>
      </x:c>
      <x:c r="D117" t="n">
        <x:f>Raw_Data!H117</x:f>
        <x:v>1.509</x:v>
      </x:c>
      <x:c r="E117" t="n">
        <x:f>Raw_Data!F117/Raw_Data!A117</x:f>
        <x:v>9.875</x:v>
      </x:c>
      <x:c r="F117" t="n">
        <x:f>Raw_Data!D117/Raw_Data!A117</x:f>
        <x:v>3.75</x:v>
      </x:c>
      <x:c r="G117" t="n">
        <x:f>Raw_Data!E117/Raw_Data!A117</x:f>
        <x:v>31.666666666666668</x:v>
      </x:c>
      <x:c r="H117" t="n">
        <x:f>Raw_Data!G117/Raw_Data!A117</x:f>
        <x:v>47.78333333333334</x:v>
      </x:c>
      <x:c r="I117" t="str">
        <x:f>Raw_Data!I117</x:f>
        <x:v>γ≈1.45</x:v>
      </x:c>
      <x:c r="J117" t="str">
        <x:f>Raw_Data!J117</x:f>
        <x:v>Test</x:v>
      </x:c>
    </x:row>
    <x:row r="118">
      <x:c r="A118">
        <x:v>116</x:v>
      </x:c>
      <x:c r="B118" t="n">
        <x:f>Raw_Data!C118</x:f>
        <x:v>8.43</x:v>
      </x:c>
      <x:c r="C118" t="n">
        <x:f>Raw_Data!A118/Reference_Stats!$B$8</x:f>
        <x:v>0.9514308217379907</x:v>
      </x:c>
      <x:c r="D118" t="n">
        <x:f>Raw_Data!H118</x:f>
        <x:v>1.513</x:v>
      </x:c>
      <x:c r="E118" t="n">
        <x:f>Raw_Data!F118/Raw_Data!A118</x:f>
        <x:v>10.541666666666668</x:v>
      </x:c>
      <x:c r="F118" t="n">
        <x:f>Raw_Data!D118/Raw_Data!A118</x:f>
        <x:v>4.166666666666667</x:v>
      </x:c>
      <x:c r="G118" t="n">
        <x:f>Raw_Data!E118/Raw_Data!A118</x:f>
        <x:v>34.16666666666667</x:v>
      </x:c>
      <x:c r="H118" t="n">
        <x:f>Raw_Data!G118/Raw_Data!A118</x:f>
        <x:v>51.708333333333336</x:v>
      </x:c>
      <x:c r="I118" t="str">
        <x:f>Raw_Data!I118</x:f>
        <x:v>γ≈1.45</x:v>
      </x:c>
      <x:c r="J118" t="str">
        <x:f>Raw_Data!J118</x:f>
        <x:v>Train</x:v>
      </x:c>
    </x:row>
    <x:row r="119">
      <x:c r="A119">
        <x:v>117</x:v>
      </x:c>
      <x:c r="B119" t="n">
        <x:f>Raw_Data!C119</x:f>
        <x:v>4.61</x:v>
      </x:c>
      <x:c r="C119" t="n">
        <x:f>Raw_Data!A119/Reference_Stats!$B$8</x:f>
        <x:v>1.0703596744552395</x:v>
      </x:c>
      <x:c r="D119" t="n">
        <x:f>Raw_Data!H119</x:f>
        <x:v>1.523</x:v>
      </x:c>
      <x:c r="E119" t="n">
        <x:f>Raw_Data!F119/Raw_Data!A119</x:f>
        <x:v>4.814814814814815</x:v>
      </x:c>
      <x:c r="F119" t="n">
        <x:f>Raw_Data!D119/Raw_Data!A119</x:f>
        <x:v>1.8518518518518516</x:v>
      </x:c>
      <x:c r="G119" t="n">
        <x:f>Raw_Data!E119/Raw_Data!A119</x:f>
        <x:v>15.925925925925926</x:v>
      </x:c>
      <x:c r="H119" t="n">
        <x:f>Raw_Data!G119/Raw_Data!A119</x:f>
        <x:v>24.248148148148147</x:v>
      </x:c>
      <x:c r="I119" t="str">
        <x:f>Raw_Data!I119</x:f>
        <x:v>γ≈1.45</x:v>
      </x:c>
      <x:c r="J119" t="str">
        <x:f>Raw_Data!J119</x:f>
        <x:v>Test</x:v>
      </x:c>
    </x:row>
    <x:row r="120">
      <x:c r="A120">
        <x:v>118</x:v>
      </x:c>
      <x:c r="B120" t="n">
        <x:f>Raw_Data!C120</x:f>
        <x:v>6.33</x:v>
      </x:c>
      <x:c r="C120" t="n">
        <x:f>Raw_Data!A120/Reference_Stats!$B$8</x:f>
        <x:v>0.5946442635862441</x:v>
      </x:c>
      <x:c r="D120" t="n">
        <x:f>Raw_Data!H120</x:f>
        <x:v>1.541</x:v>
      </x:c>
      <x:c r="E120" t="n">
        <x:f>Raw_Data!F120/Raw_Data!A120</x:f>
        <x:v>7.666666666666667</x:v>
      </x:c>
      <x:c r="F120" t="n">
        <x:f>Raw_Data!D120/Raw_Data!A120</x:f>
        <x:v>3.3333333333333335</x:v>
      </x:c>
      <x:c r="G120" t="n">
        <x:f>Raw_Data!E120/Raw_Data!A120</x:f>
        <x:v>24</x:v>
      </x:c>
      <x:c r="H120" t="n">
        <x:f>Raw_Data!G120/Raw_Data!A120</x:f>
        <x:v>36.986666666666665</x:v>
      </x:c>
      <x:c r="I120" t="str">
        <x:f>Raw_Data!I120</x:f>
        <x:v>γ≈1.60</x:v>
      </x:c>
      <x:c r="J120" t="str">
        <x:f>Raw_Data!J120</x:f>
        <x:v>Train</x:v>
      </x:c>
    </x:row>
    <x:row r="121">
      <x:c r="A121">
        <x:v>119</x:v>
      </x:c>
      <x:c r="B121" t="n">
        <x:f>Raw_Data!C121</x:f>
        <x:v>5.87</x:v>
      </x:c>
      <x:c r="C121" t="n">
        <x:f>Raw_Data!A121/Reference_Stats!$B$8</x:f>
        <x:v>0.9514308217379907</x:v>
      </x:c>
      <x:c r="D121" t="n">
        <x:f>Raw_Data!H121</x:f>
        <x:v>1.554</x:v>
      </x:c>
      <x:c r="E121" t="n">
        <x:f>Raw_Data!F121/Raw_Data!A121</x:f>
        <x:v>7.041666666666666</x:v>
      </x:c>
      <x:c r="F121" t="n">
        <x:f>Raw_Data!D121/Raw_Data!A121</x:f>
        <x:v>2.5</x:v>
      </x:c>
      <x:c r="G121" t="n">
        <x:f>Raw_Data!E121/Raw_Data!A121</x:f>
        <x:v>21.666666666666668</x:v>
      </x:c>
      <x:c r="H121" t="n">
        <x:f>Raw_Data!G121/Raw_Data!A121</x:f>
        <x:v>33.67916666666667</x:v>
      </x:c>
      <x:c r="I121" t="str">
        <x:f>Raw_Data!I121</x:f>
        <x:v>γ≈1.60</x:v>
      </x:c>
      <x:c r="J121" t="str">
        <x:f>Raw_Data!J121</x:f>
        <x:v>Train</x:v>
      </x:c>
    </x:row>
    <x:row r="122">
      <x:c r="A122">
        <x:v>120</x:v>
      </x:c>
      <x:c r="B122" t="n">
        <x:f>Raw_Data!C122</x:f>
        <x:v>5.13</x:v>
      </x:c>
      <x:c r="C122" t="n">
        <x:f>Raw_Data!A122/Reference_Stats!$B$8</x:f>
        <x:v>1.0307167235494898</x:v>
      </x:c>
      <x:c r="D122" t="n">
        <x:f>Raw_Data!H122</x:f>
        <x:v>1.557</x:v>
      </x:c>
      <x:c r="E122" t="n">
        <x:f>Raw_Data!F122/Raw_Data!A122</x:f>
        <x:v>5.615384615384615</x:v>
      </x:c>
      <x:c r="F122" t="n">
        <x:f>Raw_Data!D122/Raw_Data!A122</x:f>
        <x:v>2.1153846153846154</x:v>
      </x:c>
      <x:c r="G122" t="n">
        <x:f>Raw_Data!E122/Raw_Data!A122</x:f>
        <x:v>18.076923076923077</x:v>
      </x:c>
      <x:c r="H122" t="n">
        <x:f>Raw_Data!G122/Raw_Data!A122</x:f>
        <x:v>28.15</x:v>
      </x:c>
      <x:c r="I122" t="str">
        <x:f>Raw_Data!I122</x:f>
        <x:v>γ≈1.60</x:v>
      </x:c>
      <x:c r="J122" t="str">
        <x:f>Raw_Data!J122</x:f>
        <x:v>Train</x:v>
      </x:c>
    </x:row>
    <x:row r="123">
      <x:c r="A123">
        <x:v>121</x:v>
      </x:c>
      <x:c r="B123" t="n">
        <x:f>Raw_Data!C123</x:f>
        <x:v>8.66</x:v>
      </x:c>
      <x:c r="C123" t="n">
        <x:f>Raw_Data!A123/Reference_Stats!$B$8</x:f>
        <x:v>0.9514308217379907</x:v>
      </x:c>
      <x:c r="D123" t="n">
        <x:f>Raw_Data!H123</x:f>
        <x:v>1.558</x:v>
      </x:c>
      <x:c r="E123" t="n">
        <x:f>Raw_Data!F123/Raw_Data!A123</x:f>
        <x:v>10.791666666666666</x:v>
      </x:c>
      <x:c r="F123" t="n">
        <x:f>Raw_Data!D123/Raw_Data!A123</x:f>
        <x:v>4.166666666666667</x:v>
      </x:c>
      <x:c r="G123" t="n">
        <x:f>Raw_Data!E123/Raw_Data!A123</x:f>
        <x:v>34.16666666666667</x:v>
      </x:c>
      <x:c r="H123" t="n">
        <x:f>Raw_Data!G123/Raw_Data!A123</x:f>
        <x:v>53.22083333333334</x:v>
      </x:c>
      <x:c r="I123" t="str">
        <x:f>Raw_Data!I123</x:f>
        <x:v>γ≈1.60</x:v>
      </x:c>
      <x:c r="J123" t="str">
        <x:f>Raw_Data!J123</x:f>
        <x:v>Train</x:v>
      </x:c>
    </x:row>
    <x:row r="124">
      <x:c r="A124">
        <x:v>122</x:v>
      </x:c>
      <x:c r="B124" t="n">
        <x:f>Raw_Data!C124</x:f>
        <x:v>7.74</x:v>
      </x:c>
      <x:c r="C124" t="n">
        <x:f>Raw_Data!A124/Reference_Stats!$B$8</x:f>
        <x:v>0.9514308217379907</x:v>
      </x:c>
      <x:c r="D124" t="n">
        <x:f>Raw_Data!H124</x:f>
        <x:v>1.568</x:v>
      </x:c>
      <x:c r="E124" t="n">
        <x:f>Raw_Data!F124/Raw_Data!A124</x:f>
        <x:v>9.375</x:v>
      </x:c>
      <x:c r="F124" t="n">
        <x:f>Raw_Data!D124/Raw_Data!A124</x:f>
        <x:v>3.75</x:v>
      </x:c>
      <x:c r="G124" t="n">
        <x:f>Raw_Data!E124/Raw_Data!A124</x:f>
        <x:v>30</x:v>
      </x:c>
      <x:c r="H124" t="n">
        <x:f>Raw_Data!G124/Raw_Data!A124</x:f>
        <x:v>47.02916666666667</x:v>
      </x:c>
      <x:c r="I124" t="str">
        <x:f>Raw_Data!I124</x:f>
        <x:v>γ≈1.60</x:v>
      </x:c>
      <x:c r="J124" t="str">
        <x:f>Raw_Data!J124</x:f>
        <x:v>Train</x:v>
      </x:c>
    </x:row>
    <x:row r="125">
      <x:c r="A125">
        <x:v>123</x:v>
      </x:c>
      <x:c r="B125" t="n">
        <x:f>Raw_Data!C125</x:f>
        <x:v>6.42</x:v>
      </x:c>
      <x:c r="C125" t="n">
        <x:f>Raw_Data!A125/Reference_Stats!$B$8</x:f>
        <x:v>0.9910737726437403</x:v>
      </x:c>
      <x:c r="D125" t="n">
        <x:f>Raw_Data!H125</x:f>
        <x:v>1.569</x:v>
      </x:c>
      <x:c r="E125" t="n">
        <x:f>Raw_Data!F125/Raw_Data!A125</x:f>
        <x:v>7.6</x:v>
      </x:c>
      <x:c r="F125" t="n">
        <x:f>Raw_Data!D125/Raw_Data!A125</x:f>
        <x:v>2.8</x:v>
      </x:c>
      <x:c r="G125" t="n">
        <x:f>Raw_Data!E125/Raw_Data!A125</x:f>
        <x:v>24</x:v>
      </x:c>
      <x:c r="H125" t="n">
        <x:f>Raw_Data!G125/Raw_Data!A125</x:f>
        <x:v>37.652</x:v>
      </x:c>
      <x:c r="I125" t="str">
        <x:f>Raw_Data!I125</x:f>
        <x:v>γ≈1.60</x:v>
      </x:c>
      <x:c r="J125" t="str">
        <x:f>Raw_Data!J125</x:f>
        <x:v>Train</x:v>
      </x:c>
    </x:row>
    <x:row r="126">
      <x:c r="A126">
        <x:v>124</x:v>
      </x:c>
      <x:c r="B126" t="n">
        <x:f>Raw_Data!C126</x:f>
        <x:v>5.13</x:v>
      </x:c>
      <x:c r="C126" t="n">
        <x:f>Raw_Data!A126/Reference_Stats!$B$8</x:f>
        <x:v>0.9514308217379907</x:v>
      </x:c>
      <x:c r="D126" t="n">
        <x:f>Raw_Data!H126</x:f>
        <x:v>1.57</x:v>
      </x:c>
      <x:c r="E126" t="n">
        <x:f>Raw_Data!F126/Raw_Data!A126</x:f>
        <x:v>6.208333333333334</x:v>
      </x:c>
      <x:c r="F126" t="n">
        <x:f>Raw_Data!D126/Raw_Data!A126</x:f>
        <x:v>2.0833333333333335</x:v>
      </x:c>
      <x:c r="G126" t="n">
        <x:f>Raw_Data!E126/Raw_Data!A126</x:f>
        <x:v>17.916666666666668</x:v>
      </x:c>
      <x:c r="H126" t="n">
        <x:f>Raw_Data!G126/Raw_Data!A126</x:f>
        <x:v>28.12916666666667</x:v>
      </x:c>
      <x:c r="I126" t="str">
        <x:f>Raw_Data!I126</x:f>
        <x:v>γ≈1.60</x:v>
      </x:c>
      <x:c r="J126" t="str">
        <x:f>Raw_Data!J126</x:f>
        <x:v>Test</x:v>
      </x:c>
    </x:row>
    <x:row r="127">
      <x:c r="A127">
        <x:v>125</x:v>
      </x:c>
      <x:c r="B127" t="n">
        <x:f>Raw_Data!C127</x:f>
        <x:v>8.88</x:v>
      </x:c>
      <x:c r="C127" t="n">
        <x:f>Raw_Data!A127/Reference_Stats!$B$8</x:f>
        <x:v>0.911787870832241</x:v>
      </x:c>
      <x:c r="D127" t="n">
        <x:f>Raw_Data!H127</x:f>
        <x:v>1.572</x:v>
      </x:c>
      <x:c r="E127" t="n">
        <x:f>Raw_Data!F127/Raw_Data!A127</x:f>
        <x:v>10.869565217391305</x:v>
      </x:c>
      <x:c r="F127" t="n">
        <x:f>Raw_Data!D127/Raw_Data!A127</x:f>
        <x:v>4.347826086956522</x:v>
      </x:c>
      <x:c r="G127" t="n">
        <x:f>Raw_Data!E127/Raw_Data!A127</x:f>
        <x:v>34.78260869565218</x:v>
      </x:c>
      <x:c r="H127" t="n">
        <x:f>Raw_Data!G127/Raw_Data!A127</x:f>
        <x:v>54.6913043478261</x:v>
      </x:c>
      <x:c r="I127" t="str">
        <x:f>Raw_Data!I127</x:f>
        <x:v>γ≈1.60</x:v>
      </x:c>
      <x:c r="J127" t="str">
        <x:f>Raw_Data!J127</x:f>
        <x:v>Train</x:v>
      </x:c>
    </x:row>
    <x:row r="128">
      <x:c r="A128">
        <x:v>126</x:v>
      </x:c>
      <x:c r="B128" t="n">
        <x:f>Raw_Data!C128</x:f>
        <x:v>5.09</x:v>
      </x:c>
      <x:c r="C128" t="n">
        <x:f>Raw_Data!A128/Reference_Stats!$B$8</x:f>
        <x:v>1.3478603307954866</x:v>
      </x:c>
      <x:c r="D128" t="n">
        <x:f>Raw_Data!H128</x:f>
        <x:v>1.587</x:v>
      </x:c>
      <x:c r="E128" t="n">
        <x:f>Raw_Data!F128/Raw_Data!A128</x:f>
        <x:v>5.676470588235294</x:v>
      </x:c>
      <x:c r="F128" t="n">
        <x:f>Raw_Data!D128/Raw_Data!A128</x:f>
        <x:v>2.058823529411765</x:v>
      </x:c>
      <x:c r="G128" t="n">
        <x:f>Raw_Data!E128/Raw_Data!A128</x:f>
        <x:v>16.764705882352942</x:v>
      </x:c>
      <x:c r="H128" t="n">
        <x:f>Raw_Data!G128/Raw_Data!A128</x:f>
        <x:v>26.60294117647059</x:v>
      </x:c>
      <x:c r="I128" t="str">
        <x:f>Raw_Data!I128</x:f>
        <x:v>γ≈1.60</x:v>
      </x:c>
      <x:c r="J128" t="str">
        <x:f>Raw_Data!J128</x:f>
        <x:v>Train</x:v>
      </x:c>
    </x:row>
    <x:row r="129">
      <x:c r="A129">
        <x:v>127</x:v>
      </x:c>
      <x:c r="B129" t="n">
        <x:f>Raw_Data!C129</x:f>
        <x:v>5.25</x:v>
      </x:c>
      <x:c r="C129" t="n">
        <x:f>Raw_Data!A129/Reference_Stats!$B$8</x:f>
        <x:v>1.3478603307954866</x:v>
      </x:c>
      <x:c r="D129" t="n">
        <x:f>Raw_Data!H129</x:f>
        <x:v>1.651</x:v>
      </x:c>
      <x:c r="E129" t="n">
        <x:f>Raw_Data!F129/Raw_Data!A129</x:f>
        <x:v>5.794117647058823</x:v>
      </x:c>
      <x:c r="F129" t="n">
        <x:f>Raw_Data!D129/Raw_Data!A129</x:f>
        <x:v>2.058823529411765</x:v>
      </x:c>
      <x:c r="G129" t="n">
        <x:f>Raw_Data!E129/Raw_Data!A129</x:f>
        <x:v>16.764705882352942</x:v>
      </x:c>
      <x:c r="H129" t="n">
        <x:f>Raw_Data!G129/Raw_Data!A129</x:f>
        <x:v>27.685294117647057</x:v>
      </x:c>
      <x:c r="I129" t="str">
        <x:f>Raw_Data!I129</x:f>
        <x:v>γ≈1.60</x:v>
      </x:c>
      <x:c r="J129" t="str">
        <x:f>Raw_Data!J129</x:f>
        <x:v>Train</x:v>
      </x:c>
    </x:row>
    <x:row r="130">
      <x:c r="A130">
        <x:v>128</x:v>
      </x:c>
      <x:c r="B130" t="n">
        <x:f>Raw_Data!C130</x:f>
        <x:v>3.43</x:v>
      </x:c>
      <x:c r="C130" t="n">
        <x:f>Raw_Data!A130/Reference_Stats!$B$8</x:f>
        <x:v>1.7839327907587326</x:v>
      </x:c>
      <x:c r="D130" t="n">
        <x:f>Raw_Data!H130</x:f>
        <x:v>1.661</x:v>
      </x:c>
      <x:c r="E130" t="n">
        <x:f>Raw_Data!F130/Raw_Data!A130</x:f>
        <x:v>3.711111111111111</x:v>
      </x:c>
      <x:c r="F130" t="n">
        <x:f>Raw_Data!D130/Raw_Data!A130</x:f>
        <x:v>1.1111111111111112</x:v>
      </x:c>
      <x:c r="G130" t="n">
        <x:f>Raw_Data!E130/Raw_Data!A130</x:f>
        <x:v>8.88888888888889</x:v>
      </x:c>
      <x:c r="H130" t="n">
        <x:f>Raw_Data!G130/Raw_Data!A130</x:f>
        <x:v>14.76</x:v>
      </x:c>
      <x:c r="I130" t="str">
        <x:f>Raw_Data!I130</x:f>
        <x:v>γ≈1.60</x:v>
      </x:c>
      <x:c r="J130" t="str">
        <x:f>Raw_Data!J130</x:f>
        <x:v>Train</x:v>
      </x:c>
    </x:row>
    <x:row r="131">
      <x:c r="A131">
        <x:v>129</x:v>
      </x:c>
      <x:c r="B131" t="n">
        <x:f>Raw_Data!C131</x:f>
        <x:v>5.29</x:v>
      </x:c>
      <x:c r="C131" t="n">
        <x:f>Raw_Data!A131/Reference_Stats!$B$8</x:f>
        <x:v>0.9514308217379907</x:v>
      </x:c>
      <x:c r="D131" t="n">
        <x:f>Raw_Data!H131</x:f>
        <x:v>1.676</x:v>
      </x:c>
      <x:c r="E131" t="n">
        <x:f>Raw_Data!F131/Raw_Data!A131</x:f>
        <x:v>6.5</x:v>
      </x:c>
      <x:c r="F131" t="n">
        <x:f>Raw_Data!D131/Raw_Data!A131</x:f>
        <x:v>2.0833333333333335</x:v>
      </x:c>
      <x:c r="G131" t="n">
        <x:f>Raw_Data!E131/Raw_Data!A131</x:f>
        <x:v>17.5</x:v>
      </x:c>
      <x:c r="H131" t="n">
        <x:f>Raw_Data!G131/Raw_Data!A131</x:f>
        <x:v>29.3375</x:v>
      </x:c>
      <x:c r="I131" t="str">
        <x:f>Raw_Data!I131</x:f>
        <x:v>γ≈1.60</x:v>
      </x:c>
      <x:c r="J131" t="str">
        <x:f>Raw_Data!J131</x:f>
        <x:v>Train</x:v>
      </x:c>
    </x:row>
    <x:row r="132">
      <x:c r="A132">
        <x:v>130</x:v>
      </x:c>
      <x:c r="B132" t="n">
        <x:f>Raw_Data!C132</x:f>
        <x:v>4.98</x:v>
      </x:c>
      <x:c r="C132" t="n">
        <x:f>Raw_Data!A132/Reference_Stats!$B$8</x:f>
        <x:v>1.0703596744552395</x:v>
      </x:c>
      <x:c r="D132" t="n">
        <x:f>Raw_Data!H132</x:f>
        <x:v>1.698</x:v>
      </x:c>
      <x:c r="E132" t="n">
        <x:f>Raw_Data!F132/Raw_Data!A132</x:f>
        <x:v>5.333333333333333</x:v>
      </x:c>
      <x:c r="F132" t="n">
        <x:f>Raw_Data!D132/Raw_Data!A132</x:f>
        <x:v>1.8518518518518516</x:v>
      </x:c>
      <x:c r="G132" t="n">
        <x:f>Raw_Data!E132/Raw_Data!A132</x:f>
        <x:v>15.925925925925926</x:v>
      </x:c>
      <x:c r="H132" t="n">
        <x:f>Raw_Data!G132/Raw_Data!A132</x:f>
        <x:v>27.048148148148147</x:v>
      </x:c>
      <x:c r="I132" t="str">
        <x:f>Raw_Data!I132</x:f>
        <x:v>γ≈1.60</x:v>
      </x:c>
      <x:c r="J132" t="str">
        <x:f>Raw_Data!J132</x:f>
        <x:v>Train</x:v>
      </x:c>
    </x:row>
    <x:row r="133">
      <x:c r="A133">
        <x:v>131</x:v>
      </x:c>
      <x:c r="B133" t="n">
        <x:f>Raw_Data!C133</x:f>
        <x:v>6.26</x:v>
      </x:c>
      <x:c r="C133" t="n">
        <x:f>Raw_Data!A133/Reference_Stats!$B$8</x:f>
        <x:v>0.6739301653977433</x:v>
      </x:c>
      <x:c r="D133" t="n">
        <x:f>Raw_Data!H133</x:f>
        <x:v>1.723</x:v>
      </x:c>
      <x:c r="E133" t="n">
        <x:f>Raw_Data!F133/Raw_Data!A133</x:f>
        <x:v>7.647058823529412</x:v>
      </x:c>
      <x:c r="F133" t="n">
        <x:f>Raw_Data!D133/Raw_Data!A133</x:f>
        <x:v>2.9411764705882355</x:v>
      </x:c>
      <x:c r="G133" t="n">
        <x:f>Raw_Data!E133/Raw_Data!A133</x:f>
        <x:v>21.176470588235293</x:v>
      </x:c>
      <x:c r="H133" t="n">
        <x:f>Raw_Data!G133/Raw_Data!A133</x:f>
        <x:v>36.49411764705882</x:v>
      </x:c>
      <x:c r="I133" t="str">
        <x:f>Raw_Data!I133</x:f>
        <x:v>γ≈1.60</x:v>
      </x:c>
      <x:c r="J133" t="str">
        <x:f>Raw_Data!J133</x:f>
        <x:v>Test</x:v>
      </x:c>
    </x:row>
    <x:row r="134">
      <x:c r="A134">
        <x:v>132</x:v>
      </x:c>
      <x:c r="B134" t="n">
        <x:f>Raw_Data!C134</x:f>
        <x:v>6.78</x:v>
      </x:c>
      <x:c r="C134" t="n">
        <x:f>Raw_Data!A134/Reference_Stats!$B$8</x:f>
        <x:v>0.9514308217379907</x:v>
      </x:c>
      <x:c r="D134" t="n">
        <x:f>Raw_Data!H134</x:f>
        <x:v>1.724</x:v>
      </x:c>
      <x:c r="E134" t="n">
        <x:f>Raw_Data!F134/Raw_Data!A134</x:f>
        <x:v>8.25</x:v>
      </x:c>
      <x:c r="F134" t="n">
        <x:f>Raw_Data!D134/Raw_Data!A134</x:f>
        <x:v>2.916666666666667</x:v>
      </x:c>
      <x:c r="G134" t="n">
        <x:f>Raw_Data!E134/Raw_Data!A134</x:f>
        <x:v>23.333333333333336</x:v>
      </x:c>
      <x:c r="H134" t="n">
        <x:f>Raw_Data!G134/Raw_Data!A134</x:f>
        <x:v>40.229166666666664</x:v>
      </x:c>
      <x:c r="I134" t="str">
        <x:f>Raw_Data!I134</x:f>
        <x:v>γ≈1.60</x:v>
      </x:c>
      <x:c r="J134" t="str">
        <x:f>Raw_Data!J134</x:f>
        <x:v>Train</x:v>
      </x:c>
    </x:row>
    <x:row r="135">
      <x:c r="A135">
        <x:v>133</x:v>
      </x:c>
      <x:c r="B135" t="n">
        <x:f>Raw_Data!C135</x:f>
        <x:v>8.09</x:v>
      </x:c>
      <x:c r="C135" t="n">
        <x:f>Raw_Data!A135/Reference_Stats!$B$8</x:f>
        <x:v>0.9514308217379907</x:v>
      </x:c>
      <x:c r="D135" t="n">
        <x:f>Raw_Data!H135</x:f>
        <x:v>1.745</x:v>
      </x:c>
      <x:c r="E135" t="n">
        <x:f>Raw_Data!F135/Raw_Data!A135</x:f>
        <x:v>9.916666666666668</x:v>
      </x:c>
      <x:c r="F135" t="n">
        <x:f>Raw_Data!D135/Raw_Data!A135</x:f>
        <x:v>3.75</x:v>
      </x:c>
      <x:c r="G135" t="n">
        <x:f>Raw_Data!E135/Raw_Data!A135</x:f>
        <x:v>28.333333333333336</x:v>
      </x:c>
      <x:c r="H135" t="n">
        <x:f>Raw_Data!G135/Raw_Data!A135</x:f>
        <x:v>49.43333333333334</x:v>
      </x:c>
      <x:c r="I135" t="str">
        <x:f>Raw_Data!I135</x:f>
        <x:v>γ≈1.60</x:v>
      </x:c>
      <x:c r="J135" t="str">
        <x:f>Raw_Data!J135</x:f>
        <x:v>Test</x:v>
      </x:c>
    </x:row>
    <x:row r="136">
      <x:c r="A136">
        <x:v>134</x:v>
      </x:c>
      <x:c r="B136" t="n">
        <x:f>Raw_Data!C136</x:f>
        <x:v>5.95</x:v>
      </x:c>
      <x:c r="C136" t="n">
        <x:f>Raw_Data!A136/Reference_Stats!$B$8</x:f>
        <x:v>0.9910737726437403</x:v>
      </x:c>
      <x:c r="D136" t="n">
        <x:f>Raw_Data!H136</x:f>
        <x:v>1.747</x:v>
      </x:c>
      <x:c r="E136" t="n">
        <x:f>Raw_Data!F136/Raw_Data!A136</x:f>
        <x:v>6.959999999999999</x:v>
      </x:c>
      <x:c r="F136" t="n">
        <x:f>Raw_Data!D136/Raw_Data!A136</x:f>
        <x:v>2.4</x:v>
      </x:c>
      <x:c r="G136" t="n">
        <x:f>Raw_Data!E136/Raw_Data!A136</x:f>
        <x:v>19.6</x:v>
      </x:c>
      <x:c r="H136" t="n">
        <x:f>Raw_Data!G136/Raw_Data!A136</x:f>
        <x:v>34.232</x:v>
      </x:c>
      <x:c r="I136" t="str">
        <x:f>Raw_Data!I136</x:f>
        <x:v>γ≈1.60</x:v>
      </x:c>
      <x:c r="J136" t="str">
        <x:f>Raw_Data!J136</x:f>
        <x:v>Test</x:v>
      </x:c>
    </x:row>
    <x:row r="137">
      <x:c r="A137">
        <x:v>135</x:v>
      </x:c>
      <x:c r="B137" t="n">
        <x:f>Raw_Data!C137</x:f>
        <x:v>3.58</x:v>
      </x:c>
      <x:c r="C137" t="n">
        <x:f>Raw_Data!A137/Reference_Stats!$B$8</x:f>
        <x:v>1.7839327907587326</x:v>
      </x:c>
      <x:c r="D137" t="n">
        <x:f>Raw_Data!H137</x:f>
        <x:v>1.784</x:v>
      </x:c>
      <x:c r="E137" t="n">
        <x:f>Raw_Data!F137/Raw_Data!A137</x:f>
        <x:v>3.6666666666666665</x:v>
      </x:c>
      <x:c r="F137" t="n">
        <x:f>Raw_Data!D137/Raw_Data!A137</x:f>
        <x:v>1.1111111111111112</x:v>
      </x:c>
      <x:c r="G137" t="n">
        <x:f>Raw_Data!E137/Raw_Data!A137</x:f>
        <x:v>8.88888888888889</x:v>
      </x:c>
      <x:c r="H137" t="n">
        <x:f>Raw_Data!G137/Raw_Data!A137</x:f>
        <x:v>15.857777777777777</x:v>
      </x:c>
      <x:c r="I137" t="str">
        <x:f>Raw_Data!I137</x:f>
        <x:v>γ≈1.93</x:v>
      </x:c>
      <x:c r="J137" t="str">
        <x:f>Raw_Data!J137</x:f>
        <x:v>Test</x:v>
      </x:c>
    </x:row>
    <x:row r="138">
      <x:c r="A138">
        <x:v>136</x:v>
      </x:c>
      <x:c r="B138" t="n">
        <x:f>Raw_Data!C138</x:f>
        <x:v>7.63</x:v>
      </x:c>
      <x:c r="C138" t="n">
        <x:f>Raw_Data!A138/Reference_Stats!$B$8</x:f>
        <x:v>0.9514308217379907</x:v>
      </x:c>
      <x:c r="D138" t="n">
        <x:f>Raw_Data!H138</x:f>
        <x:v>1.791</x:v>
      </x:c>
      <x:c r="E138" t="n">
        <x:f>Raw_Data!F138/Raw_Data!A138</x:f>
        <x:v>9.291666666666668</x:v>
      </x:c>
      <x:c r="F138" t="n">
        <x:f>Raw_Data!D138/Raw_Data!A138</x:f>
        <x:v>3.3333333333333335</x:v>
      </x:c>
      <x:c r="G138" t="n">
        <x:f>Raw_Data!E138/Raw_Data!A138</x:f>
        <x:v>25.833333333333336</x:v>
      </x:c>
      <x:c r="H138" t="n">
        <x:f>Raw_Data!G138/Raw_Data!A138</x:f>
        <x:v>46.2625</x:v>
      </x:c>
      <x:c r="I138" t="str">
        <x:f>Raw_Data!I138</x:f>
        <x:v>γ≈1.93</x:v>
      </x:c>
      <x:c r="J138" t="str">
        <x:f>Raw_Data!J138</x:f>
        <x:v>Train</x:v>
      </x:c>
    </x:row>
    <x:row r="139">
      <x:c r="A139">
        <x:v>137</x:v>
      </x:c>
      <x:c r="B139" t="n">
        <x:f>Raw_Data!C139</x:f>
        <x:v>8.38</x:v>
      </x:c>
      <x:c r="C139" t="n">
        <x:f>Raw_Data!A139/Reference_Stats!$B$8</x:f>
        <x:v>0.9514308217379907</x:v>
      </x:c>
      <x:c r="D139" t="n">
        <x:f>Raw_Data!H139</x:f>
        <x:v>1.813</x:v>
      </x:c>
      <x:c r="E139" t="n">
        <x:f>Raw_Data!F139/Raw_Data!A139</x:f>
        <x:v>10.208333333333334</x:v>
      </x:c>
      <x:c r="F139" t="n">
        <x:f>Raw_Data!D139/Raw_Data!A139</x:f>
        <x:v>3.75</x:v>
      </x:c>
      <x:c r="G139" t="n">
        <x:f>Raw_Data!E139/Raw_Data!A139</x:f>
        <x:v>28.333333333333336</x:v>
      </x:c>
      <x:c r="H139" t="n">
        <x:f>Raw_Data!G139/Raw_Data!A139</x:f>
        <x:v>51.36666666666667</x:v>
      </x:c>
      <x:c r="I139" t="str">
        <x:f>Raw_Data!I139</x:f>
        <x:v>γ≈1.93</x:v>
      </x:c>
      <x:c r="J139" t="str">
        <x:f>Raw_Data!J139</x:f>
        <x:v>Test</x:v>
      </x:c>
    </x:row>
    <x:row r="140">
      <x:c r="A140">
        <x:v>138</x:v>
      </x:c>
      <x:c r="B140" t="n">
        <x:f>Raw_Data!C140</x:f>
        <x:v>6.18</x:v>
      </x:c>
      <x:c r="C140" t="n">
        <x:f>Raw_Data!A140/Reference_Stats!$B$8</x:f>
        <x:v>0.9910737726437403</x:v>
      </x:c>
      <x:c r="D140" t="n">
        <x:f>Raw_Data!H140</x:f>
        <x:v>1.833</x:v>
      </x:c>
      <x:c r="E140" t="n">
        <x:f>Raw_Data!F140/Raw_Data!A140</x:f>
        <x:v>7.2</x:v>
      </x:c>
      <x:c r="F140" t="n">
        <x:f>Raw_Data!D140/Raw_Data!A140</x:f>
        <x:v>2.4</x:v>
      </x:c>
      <x:c r="G140" t="n">
        <x:f>Raw_Data!E140/Raw_Data!A140</x:f>
        <x:v>19.6</x:v>
      </x:c>
      <x:c r="H140" t="n">
        <x:f>Raw_Data!G140/Raw_Data!A140</x:f>
        <x:v>35.924</x:v>
      </x:c>
      <x:c r="I140" t="str">
        <x:f>Raw_Data!I140</x:f>
        <x:v>γ≈1.93</x:v>
      </x:c>
      <x:c r="J140" t="str">
        <x:f>Raw_Data!J140</x:f>
        <x:v>Train</x:v>
      </x:c>
    </x:row>
    <x:row r="141">
      <x:c r="A141">
        <x:v>139</x:v>
      </x:c>
      <x:c r="B141" t="n">
        <x:f>Raw_Data!C141</x:f>
        <x:v>4.94</x:v>
      </x:c>
      <x:c r="C141" t="n">
        <x:f>Raw_Data!A141/Reference_Stats!$B$8</x:f>
        <x:v>1.3478603307954866</x:v>
      </x:c>
      <x:c r="D141" t="n">
        <x:f>Raw_Data!H141</x:f>
        <x:v>1.85</x:v>
      </x:c>
      <x:c r="E141" t="n">
        <x:f>Raw_Data!F141/Raw_Data!A141</x:f>
        <x:v>5.294117647058823</x:v>
      </x:c>
      <x:c r="F141" t="n">
        <x:f>Raw_Data!D141/Raw_Data!A141</x:f>
        <x:v>1.7647058823529411</x:v>
      </x:c>
      <x:c r="G141" t="n">
        <x:f>Raw_Data!E141/Raw_Data!A141</x:f>
        <x:v>13.823529411764707</x:v>
      </x:c>
      <x:c r="H141" t="n">
        <x:f>Raw_Data!G141/Raw_Data!A141</x:f>
        <x:v>25.576470588235292</x:v>
      </x:c>
      <x:c r="I141" t="str">
        <x:f>Raw_Data!I141</x:f>
        <x:v>γ≈1.93</x:v>
      </x:c>
      <x:c r="J141" t="str">
        <x:f>Raw_Data!J141</x:f>
        <x:v>Test</x:v>
      </x:c>
    </x:row>
    <x:row r="142">
      <x:c r="A142">
        <x:v>140</x:v>
      </x:c>
      <x:c r="B142" t="n">
        <x:f>Raw_Data!C142</x:f>
        <x:v>7.93</x:v>
      </x:c>
      <x:c r="C142" t="n">
        <x:f>Raw_Data!A142/Reference_Stats!$B$8</x:f>
        <x:v>0.9514308217379907</x:v>
      </x:c>
      <x:c r="D142" t="n">
        <x:f>Raw_Data!H142</x:f>
        <x:v>1.871</x:v>
      </x:c>
      <x:c r="E142" t="n">
        <x:f>Raw_Data!F142/Raw_Data!A142</x:f>
        <x:v>9.625000000000002</x:v>
      </x:c>
      <x:c r="F142" t="n">
        <x:f>Raw_Data!D142/Raw_Data!A142</x:f>
        <x:v>3.3333333333333335</x:v>
      </x:c>
      <x:c r="G142" t="n">
        <x:f>Raw_Data!E142/Raw_Data!A142</x:f>
        <x:v>25.833333333333336</x:v>
      </x:c>
      <x:c r="H142" t="n">
        <x:f>Raw_Data!G142/Raw_Data!A142</x:f>
        <x:v>48.34166666666667</x:v>
      </x:c>
      <x:c r="I142" t="str">
        <x:f>Raw_Data!I142</x:f>
        <x:v>γ≈1.93</x:v>
      </x:c>
      <x:c r="J142" t="str">
        <x:f>Raw_Data!J142</x:f>
        <x:v>Train</x:v>
      </x:c>
    </x:row>
    <x:row r="143">
      <x:c r="A143">
        <x:v>141</x:v>
      </x:c>
      <x:c r="B143" t="n">
        <x:f>Raw_Data!C143</x:f>
        <x:v>6.26</x:v>
      </x:c>
      <x:c r="C143" t="n">
        <x:f>Raw_Data!A143/Reference_Stats!$B$8</x:f>
        <x:v>0.9514308217379907</x:v>
      </x:c>
      <x:c r="D143" t="n">
        <x:f>Raw_Data!H143</x:f>
        <x:v>1.903</x:v>
      </x:c>
      <x:c r="E143" t="n">
        <x:f>Raw_Data!F143/Raw_Data!A143</x:f>
        <x:v>7.625000000000001</x:v>
      </x:c>
      <x:c r="F143" t="n">
        <x:f>Raw_Data!D143/Raw_Data!A143</x:f>
        <x:v>2.5</x:v>
      </x:c>
      <x:c r="G143" t="n">
        <x:f>Raw_Data!E143/Raw_Data!A143</x:f>
        <x:v>19.166666666666668</x:v>
      </x:c>
      <x:c r="H143" t="n">
        <x:f>Raw_Data!G143/Raw_Data!A143</x:f>
        <x:v>36.479166666666664</x:v>
      </x:c>
      <x:c r="I143" t="str">
        <x:f>Raw_Data!I143</x:f>
        <x:v>γ≈1.93</x:v>
      </x:c>
      <x:c r="J143" t="str">
        <x:f>Raw_Data!J143</x:f>
        <x:v>Train</x:v>
      </x:c>
    </x:row>
    <x:row r="144">
      <x:c r="A144">
        <x:v>142</x:v>
      </x:c>
      <x:c r="B144" t="n">
        <x:f>Raw_Data!C144</x:f>
        <x:v>7.29</x:v>
      </x:c>
      <x:c r="C144" t="n">
        <x:f>Raw_Data!A144/Reference_Stats!$B$8</x:f>
        <x:v>0.9514308217379907</x:v>
      </x:c>
      <x:c r="D144" t="n">
        <x:f>Raw_Data!H144</x:f>
        <x:v>1.95</x:v>
      </x:c>
      <x:c r="E144" t="n">
        <x:f>Raw_Data!F144/Raw_Data!A144</x:f>
        <x:v>8.5</x:v>
      </x:c>
      <x:c r="F144" t="n">
        <x:f>Raw_Data!D144/Raw_Data!A144</x:f>
        <x:v>2.916666666666667</x:v>
      </x:c>
      <x:c r="G144" t="n">
        <x:f>Raw_Data!E144/Raw_Data!A144</x:f>
        <x:v>22.5</x:v>
      </x:c>
      <x:c r="H144" t="n">
        <x:f>Raw_Data!G144/Raw_Data!A144</x:f>
        <x:v>43.87083333333334</x:v>
      </x:c>
      <x:c r="I144" t="str">
        <x:f>Raw_Data!I144</x:f>
        <x:v>γ≈1.93</x:v>
      </x:c>
      <x:c r="J144" t="str">
        <x:f>Raw_Data!J144</x:f>
        <x:v>Train</x:v>
      </x:c>
    </x:row>
    <x:row r="145">
      <x:c r="A145">
        <x:v>143</x:v>
      </x:c>
      <x:c r="B145" t="n">
        <x:f>Raw_Data!C145</x:f>
        <x:v>5.31</x:v>
      </x:c>
      <x:c r="C145" t="n">
        <x:f>Raw_Data!A145/Reference_Stats!$B$8</x:f>
        <x:v>1.3478603307954866</x:v>
      </x:c>
      <x:c r="D145" t="n">
        <x:f>Raw_Data!H145</x:f>
        <x:v>1.996</x:v>
      </x:c>
      <x:c r="E145" t="n">
        <x:f>Raw_Data!F145/Raw_Data!A145</x:f>
        <x:v>5.4411764705882355</x:v>
      </x:c>
      <x:c r="F145" t="n">
        <x:f>Raw_Data!D145/Raw_Data!A145</x:f>
        <x:v>1.7647058823529411</x:v>
      </x:c>
      <x:c r="G145" t="n">
        <x:f>Raw_Data!E145/Raw_Data!A145</x:f>
        <x:v>13.823529411764707</x:v>
      </x:c>
      <x:c r="H145" t="n">
        <x:f>Raw_Data!G145/Raw_Data!A145</x:f>
        <x:v>27.591176470588238</x:v>
      </x:c>
      <x:c r="I145" t="str">
        <x:f>Raw_Data!I145</x:f>
        <x:v>γ≈1.93</x:v>
      </x:c>
      <x:c r="J145" t="str">
        <x:f>Raw_Data!J145</x:f>
        <x:v>Train</x:v>
      </x:c>
    </x:row>
    <x:row r="146">
      <x:c r="A146">
        <x:v>144</x:v>
      </x:c>
      <x:c r="B146" t="n">
        <x:f>Raw_Data!C146</x:f>
        <x:v>5.6</x:v>
      </x:c>
      <x:c r="C146" t="n">
        <x:f>Raw_Data!A146/Reference_Stats!$B$8</x:f>
        <x:v>0.9514308217379907</x:v>
      </x:c>
      <x:c r="D146" t="n">
        <x:f>Raw_Data!H146</x:f>
        <x:v>1.998</x:v>
      </x:c>
      <x:c r="E146" t="n">
        <x:f>Raw_Data!F146/Raw_Data!A146</x:f>
        <x:v>6.708333333333334</x:v>
      </x:c>
      <x:c r="F146" t="n">
        <x:f>Raw_Data!D146/Raw_Data!A146</x:f>
        <x:v>2.0833333333333335</x:v>
      </x:c>
      <x:c r="G146" t="n">
        <x:f>Raw_Data!E146/Raw_Data!A146</x:f>
        <x:v>15.833333333333334</x:v>
      </x:c>
      <x:c r="H146" t="n">
        <x:f>Raw_Data!G146/Raw_Data!A146</x:f>
        <x:v>31.641666666666666</x:v>
      </x:c>
      <x:c r="I146" t="str">
        <x:f>Raw_Data!I146</x:f>
        <x:v>γ≈1.93</x:v>
      </x:c>
      <x:c r="J146" t="str">
        <x:f>Raw_Data!J146</x:f>
        <x:v>Test</x:v>
      </x:c>
    </x:row>
    <x:row r="147">
      <x:c r="A147">
        <x:v>145</x:v>
      </x:c>
      <x:c r="B147" t="n">
        <x:f>Raw_Data!C147</x:f>
        <x:v>6.51</x:v>
      </x:c>
      <x:c r="C147" t="n">
        <x:f>Raw_Data!A147/Reference_Stats!$B$8</x:f>
        <x:v>0.7532160672092426</x:v>
      </x:c>
      <x:c r="D147" t="n">
        <x:f>Raw_Data!H147</x:f>
        <x:v>2.022</x:v>
      </x:c>
      <x:c r="E147" t="n">
        <x:f>Raw_Data!F147/Raw_Data!A147</x:f>
        <x:v>7.36842105263158</x:v>
      </x:c>
      <x:c r="F147" t="n">
        <x:f>Raw_Data!D147/Raw_Data!A147</x:f>
        <x:v>2.6315789473684212</x:v>
      </x:c>
      <x:c r="G147" t="n">
        <x:f>Raw_Data!E147/Raw_Data!A147</x:f>
        <x:v>18.947368421052634</x:v>
      </x:c>
      <x:c r="H147" t="n">
        <x:f>Raw_Data!G147/Raw_Data!A147</x:f>
        <x:v>38.31052631578948</x:v>
      </x:c>
      <x:c r="I147" t="str">
        <x:f>Raw_Data!I147</x:f>
        <x:v>γ≈1.93</x:v>
      </x:c>
      <x:c r="J147" t="str">
        <x:f>Raw_Data!J147</x:f>
        <x:v>Train</x:v>
      </x:c>
    </x:row>
    <x:row r="148">
      <x:c r="A148">
        <x:v>146</x:v>
      </x:c>
      <x:c r="B148" t="n">
        <x:f>Raw_Data!C148</x:f>
        <x:v>6.68</x:v>
      </x:c>
      <x:c r="C148" t="n">
        <x:f>Raw_Data!A148/Reference_Stats!$B$8</x:f>
        <x:v>0.9514308217379907</x:v>
      </x:c>
      <x:c r="D148" t="n">
        <x:f>Raw_Data!H148</x:f>
        <x:v>2.064</x:v>
      </x:c>
      <x:c r="E148" t="n">
        <x:f>Raw_Data!F148/Raw_Data!A148</x:f>
        <x:v>8.208333333333334</x:v>
      </x:c>
      <x:c r="F148" t="n">
        <x:f>Raw_Data!D148/Raw_Data!A148</x:f>
        <x:v>2.5</x:v>
      </x:c>
      <x:c r="G148" t="n">
        <x:f>Raw_Data!E148/Raw_Data!A148</x:f>
        <x:v>19.166666666666668</x:v>
      </x:c>
      <x:c r="H148" t="n">
        <x:f>Raw_Data!G148/Raw_Data!A148</x:f>
        <x:v>39.554166666666674</x:v>
      </x:c>
      <x:c r="I148" t="str">
        <x:f>Raw_Data!I148</x:f>
        <x:v>γ≈1.93</x:v>
      </x:c>
      <x:c r="J148" t="str">
        <x:f>Raw_Data!J148</x:f>
        <x:v>Train</x:v>
      </x:c>
    </x:row>
    <x:row r="149">
      <x:c r="A149">
        <x:v>147</x:v>
      </x:c>
      <x:c r="B149" t="n">
        <x:f>Raw_Data!C149</x:f>
        <x:v>7.77</x:v>
      </x:c>
      <x:c r="C149" t="n">
        <x:f>Raw_Data!A149/Reference_Stats!$B$8</x:f>
        <x:v>0.9514308217379907</x:v>
      </x:c>
      <x:c r="D149" t="n">
        <x:f>Raw_Data!H149</x:f>
        <x:v>2.099</x:v>
      </x:c>
      <x:c r="E149" t="n">
        <x:f>Raw_Data!F149/Raw_Data!A149</x:f>
        <x:v>9.458333333333334</x:v>
      </x:c>
      <x:c r="F149" t="n">
        <x:f>Raw_Data!D149/Raw_Data!A149</x:f>
        <x:v>2.916666666666667</x:v>
      </x:c>
      <x:c r="G149" t="n">
        <x:f>Raw_Data!E149/Raw_Data!A149</x:f>
        <x:v>22.5</x:v>
      </x:c>
      <x:c r="H149" t="n">
        <x:f>Raw_Data!G149/Raw_Data!A149</x:f>
        <x:v>47.21666666666667</x:v>
      </x:c>
      <x:c r="I149" t="str">
        <x:f>Raw_Data!I149</x:f>
        <x:v>γ≈1.93</x:v>
      </x:c>
      <x:c r="J149" t="str">
        <x:f>Raw_Data!J149</x:f>
        <x:v>Train</x:v>
      </x:c>
    </x:row>
    <x:row r="150">
      <x:c r="A150">
        <x:v>148</x:v>
      </x:c>
      <x:c r="B150" t="n">
        <x:f>Raw_Data!C150</x:f>
        <x:v>4.94</x:v>
      </x:c>
      <x:c r="C150" t="n">
        <x:f>Raw_Data!A150/Reference_Stats!$B$8</x:f>
        <x:v>1.0703596744552395</x:v>
      </x:c>
      <x:c r="D150" t="n">
        <x:f>Raw_Data!H150</x:f>
        <x:v>2.121</x:v>
      </x:c>
      <x:c r="E150" t="n">
        <x:f>Raw_Data!F150/Raw_Data!A150</x:f>
        <x:v>5.259259259259259</x:v>
      </x:c>
      <x:c r="F150" t="n">
        <x:f>Raw_Data!D150/Raw_Data!A150</x:f>
        <x:v>1.6666666666666665</x:v>
      </x:c>
      <x:c r="G150" t="n">
        <x:f>Raw_Data!E150/Raw_Data!A150</x:f>
        <x:v>12.592592592592592</x:v>
      </x:c>
      <x:c r="H150" t="n">
        <x:f>Raw_Data!G150/Raw_Data!A150</x:f>
        <x:v>26.711111111111112</x:v>
      </x:c>
      <x:c r="I150" t="str">
        <x:f>Raw_Data!I150</x:f>
        <x:v>γ≈1.93</x:v>
      </x:c>
      <x:c r="J150" t="str">
        <x:f>Raw_Data!J150</x:f>
        <x:v>Train</x:v>
      </x:c>
    </x:row>
    <x:row r="151">
      <x:c r="A151">
        <x:v>149</x:v>
      </x:c>
      <x:c r="B151" t="n">
        <x:f>Raw_Data!C151</x:f>
        <x:v>5.84</x:v>
      </x:c>
      <x:c r="C151" t="n">
        <x:f>Raw_Data!A151/Reference_Stats!$B$8</x:f>
        <x:v>0.9514308217379907</x:v>
      </x:c>
      <x:c r="D151" t="n">
        <x:f>Raw_Data!H151</x:f>
        <x:v>2.167</x:v>
      </x:c>
      <x:c r="E151" t="n">
        <x:f>Raw_Data!F151/Raw_Data!A151</x:f>
        <x:v>6.75</x:v>
      </x:c>
      <x:c r="F151" t="n">
        <x:f>Raw_Data!D151/Raw_Data!A151</x:f>
        <x:v>2.0833333333333335</x:v>
      </x:c>
      <x:c r="G151" t="n">
        <x:f>Raw_Data!E151/Raw_Data!A151</x:f>
        <x:v>15.416666666666668</x:v>
      </x:c>
      <x:c r="H151" t="n">
        <x:f>Raw_Data!G151/Raw_Data!A151</x:f>
        <x:v>33.4125</x:v>
      </x:c>
      <x:c r="I151" t="str">
        <x:f>Raw_Data!I151</x:f>
        <x:v>γ≈1.93</x:v>
      </x:c>
      <x:c r="J151" t="str">
        <x:f>Raw_Data!J151</x:f>
        <x:v>Train</x:v>
      </x:c>
    </x:row>
    <x:row r="152">
      <x:c r="A152">
        <x:v>150</x:v>
      </x:c>
      <x:c r="B152" t="n">
        <x:f>Raw_Data!C152</x:f>
        <x:v>4.54</x:v>
      </x:c>
      <x:c r="C152" t="n">
        <x:f>Raw_Data!A152/Reference_Stats!$B$8</x:f>
        <x:v>1.3478603307954866</x:v>
      </x:c>
      <x:c r="D152" t="n">
        <x:f>Raw_Data!H152</x:f>
        <x:v>2.217</x:v>
      </x:c>
      <x:c r="E152" t="n">
        <x:f>Raw_Data!F152/Raw_Data!A152</x:f>
        <x:v>4.705882352941177</x:v>
      </x:c>
      <x:c r="F152" t="n">
        <x:f>Raw_Data!D152/Raw_Data!A152</x:f>
        <x:v>1.4705882352941178</x:v>
      </x:c>
      <x:c r="G152" t="n">
        <x:f>Raw_Data!E152/Raw_Data!A152</x:f>
        <x:v>10.294117647058824</x:v>
      </x:c>
      <x:c r="H152" t="n">
        <x:f>Raw_Data!G152/Raw_Data!A152</x:f>
        <x:v>22.826470588235296</x:v>
      </x:c>
      <x:c r="I152" t="str">
        <x:f>Raw_Data!I152</x:f>
        <x:v>γ≈1.93</x:v>
      </x:c>
      <x:c r="J152" t="str">
        <x:f>Raw_Data!J152</x:f>
        <x:v>Train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sheetData>
    <x:row r="1">
      <x:c r="A1" t="s">
        <x:v>18</x:v>
      </x:c>
      <x:c r="B1" t="s">
        <x:v>2</x:v>
      </x:c>
      <x:c r="C1" t="s">
        <x:v>19</x:v>
      </x:c>
      <x:c r="D1" t="s">
        <x:v>7</x:v>
      </x:c>
      <x:c r="E1" t="s">
        <x:v>24</x:v>
      </x:c>
      <x:c r="F1" t="s">
        <x:v>25</x:v>
      </x:c>
      <x:c r="G1" t="s">
        <x:v>26</x:v>
      </x:c>
      <x:c r="H1" t="s">
        <x:v>20</x:v>
      </x:c>
      <x:c r="I1" t="s">
        <x:v>21</x:v>
      </x:c>
      <x:c r="J1" t="s">
        <x:v>22</x:v>
      </x:c>
      <x:c r="K1" t="s">
        <x:v>27</x:v>
      </x:c>
      <x:c r="L1" t="s">
        <x:v>28</x:v>
      </x:c>
      <x:c r="M1" t="s">
        <x:v>29</x:v>
      </x:c>
      <x:c r="N1" t="s">
        <x:v>8</x:v>
      </x:c>
      <x:c r="O1" t="s">
        <x:v>9</x:v>
      </x:c>
    </x:row>
    <x:row r="2">
      <x:c r="A2" t="n">
        <x:f>Adimensional_A!A2</x:f>
        <x:v>0</x:v>
      </x:c>
      <x:c r="B2" t="n">
        <x:f>Adimensional_A!B2</x:f>
        <x:v>3.61</x:v>
      </x:c>
      <x:c r="C2" t="n">
        <x:f>Adimensional_A!C2</x:f>
        <x:v>1.0703596744552395</x:v>
      </x:c>
      <x:c r="D2" t="n">
        <x:f>Adimensional_A!D2</x:f>
        <x:v>0.893</x:v>
      </x:c>
      <x:c r="E2" t="n">
        <x:f>(Adimensional_A!B2-Reference_Stats!$B$2)/Reference_Stats!$C$2</x:f>
        <x:v>-1.3596542854156555</x:v>
      </x:c>
      <x:c r="F2" t="n">
        <x:f>(Adimensional_A!C2-Reference_Stats!$B$3)/Reference_Stats!$C$3</x:f>
        <x:v>0.2631602494251496</x:v>
      </x:c>
      <x:c r="G2" t="n">
        <x:f>(Adimensional_A!D2-Reference_Stats!$B$4)/Reference_Stats!$C$4</x:f>
        <x:v>-1.3522491874618063</x:v>
      </x:c>
      <x:c r="H2" t="n">
        <x:f>Adimensional_A!E2</x:f>
        <x:v>4.555555555555555</x:v>
      </x:c>
      <x:c r="I2" t="n">
        <x:f>Adimensional_A!F2</x:f>
        <x:v>1.8518518518518516</x:v>
      </x:c>
      <x:c r="J2" t="n">
        <x:f>Adimensional_A!G2</x:f>
        <x:v>18.51851851851852</x:v>
      </x:c>
      <x:c r="K2" t="n">
        <x:f>(Adimensional_A!E2-Reference_Stats!$B$5)/Reference_Stats!$C$5</x:f>
        <x:v>-1.1630525686387307</x:v>
      </x:c>
      <x:c r="L2" t="n">
        <x:f>(Adimensional_A!F2-Reference_Stats!$B$6)/Reference_Stats!$C$6</x:f>
        <x:v>-0.9080088093786396</x:v>
      </x:c>
      <x:c r="M2" t="n">
        <x:f>(Adimensional_A!G2-Reference_Stats!$B$7)/Reference_Stats!$C$7</x:f>
        <x:v>-0.7348782550529419</x:v>
      </x:c>
      <x:c r="N2" t="str">
        <x:f>Adimensional_A!I2</x:f>
        <x:v>γ≈1.00</x:v>
      </x:c>
      <x:c r="O2" t="str">
        <x:f>Adimensional_A!J2</x:f>
        <x:v>Train</x:v>
      </x:c>
    </x:row>
    <x:row r="3">
      <x:c r="A3" t="n">
        <x:f>Adimensional_A!A3</x:f>
        <x:v>1</x:v>
      </x:c>
      <x:c r="B3" t="n">
        <x:f>Adimensional_A!B3</x:f>
        <x:v>3.44</x:v>
      </x:c>
      <x:c r="C3" t="n">
        <x:f>Adimensional_A!C3</x:f>
        <x:v>1.0703596744552395</x:v>
      </x:c>
      <x:c r="D3" t="n">
        <x:f>Adimensional_A!D3</x:f>
        <x:v>0.895</x:v>
      </x:c>
      <x:c r="E3" t="n">
        <x:f>(Adimensional_A!B3-Reference_Stats!$B$2)/Reference_Stats!$C$2</x:f>
        <x:v>-1.4552770950228333</x:v>
      </x:c>
      <x:c r="F3" t="n">
        <x:f>(Adimensional_A!C3-Reference_Stats!$B$3)/Reference_Stats!$C$3</x:f>
        <x:v>0.2631602494251496</x:v>
      </x:c>
      <x:c r="G3" t="n">
        <x:f>(Adimensional_A!D3-Reference_Stats!$B$4)/Reference_Stats!$C$4</x:f>
        <x:v>-1.3457578067078289</x:v>
      </x:c>
      <x:c r="H3" t="n">
        <x:f>Adimensional_A!E3</x:f>
        <x:v>4.37037037037037</x:v>
      </x:c>
      <x:c r="I3" t="n">
        <x:f>Adimensional_A!F3</x:f>
        <x:v>1.6666666666666665</x:v>
      </x:c>
      <x:c r="J3" t="n">
        <x:f>Adimensional_A!G3</x:f>
        <x:v>17.037037037037035</x:v>
      </x:c>
      <x:c r="K3" t="n">
        <x:f>(Adimensional_A!E3-Reference_Stats!$B$5)/Reference_Stats!$C$5</x:f>
        <x:v>-1.2379382072738938</x:v>
      </x:c>
      <x:c r="L3" t="n">
        <x:f>(Adimensional_A!F3-Reference_Stats!$B$6)/Reference_Stats!$C$6</x:f>
        <x:v>-1.0511878206423146</x:v>
      </x:c>
      <x:c r="M3" t="n">
        <x:f>(Adimensional_A!G3-Reference_Stats!$B$7)/Reference_Stats!$C$7</x:f>
        <x:v>-0.8596029426808429</x:v>
      </x:c>
      <x:c r="N3" t="str">
        <x:f>Adimensional_A!I3</x:f>
        <x:v>γ≈1.00</x:v>
      </x:c>
      <x:c r="O3" t="str">
        <x:f>Adimensional_A!J3</x:f>
        <x:v>Train</x:v>
      </x:c>
    </x:row>
    <x:row r="4">
      <x:c r="A4" t="n">
        <x:f>Adimensional_A!A4</x:f>
        <x:v>2</x:v>
      </x:c>
      <x:c r="B4" t="n">
        <x:f>Adimensional_A!B4</x:f>
        <x:v>8.17</x:v>
      </x:c>
      <x:c r="C4" t="n">
        <x:f>Adimensional_A!C4</x:f>
        <x:v>0.6342872144919938</x:v>
      </x:c>
      <x:c r="D4" t="n">
        <x:f>Adimensional_A!D4</x:f>
        <x:v>0.951</x:v>
      </x:c>
      <x:c r="E4" t="n">
        <x:f>(Adimensional_A!B4-Reference_Stats!$B$2)/Reference_Stats!$C$2</x:f>
        <x:v>1.2052869605180543</x:v>
      </x:c>
      <x:c r="F4" t="n">
        <x:f>(Adimensional_A!C4-Reference_Stats!$B$3)/Reference_Stats!$C$3</x:f>
        <x:v>-1.367844132273259</x:v>
      </x:c>
      <x:c r="G4" t="n">
        <x:f>(Adimensional_A!D4-Reference_Stats!$B$4)/Reference_Stats!$C$4</x:f>
        <x:v>-1.1639991455964647</x:v>
      </x:c>
      <x:c r="H4" t="n">
        <x:f>Adimensional_A!E4</x:f>
        <x:v>10.5</x:v>
      </x:c>
      <x:c r="I4" t="n">
        <x:f>Adimensional_A!F4</x:f>
        <x:v>5</x:v>
      </x:c>
      <x:c r="J4" t="n">
        <x:f>Adimensional_A!G4</x:f>
        <x:v>52.5</x:v>
      </x:c>
      <x:c r="K4" t="n">
        <x:f>(Adimensional_A!E4-Reference_Stats!$B$5)/Reference_Stats!$C$5</x:f>
        <x:v>1.240776431550008</x:v>
      </x:c>
      <x:c r="L4" t="n">
        <x:f>(Adimensional_A!F4-Reference_Stats!$B$6)/Reference_Stats!$C$6</x:f>
        <x:v>1.5260343821038365</x:v>
      </x:c>
      <x:c r="M4" t="n">
        <x:f>(Adimensional_A!G4-Reference_Stats!$B$7)/Reference_Stats!$C$7</x:f>
        <x:v>2.1259942674120325</x:v>
      </x:c>
      <x:c r="N4" t="str">
        <x:f>Adimensional_A!I4</x:f>
        <x:v>γ≈1.00</x:v>
      </x:c>
      <x:c r="O4" t="str">
        <x:f>Adimensional_A!J4</x:f>
        <x:v>Train</x:v>
      </x:c>
    </x:row>
    <x:row r="5">
      <x:c r="A5" t="n">
        <x:f>Adimensional_A!A5</x:f>
        <x:v>3</x:v>
      </x:c>
      <x:c r="B5" t="n">
        <x:f>Adimensional_A!B5</x:f>
        <x:v>6.75</x:v>
      </x:c>
      <x:c r="C5" t="n">
        <x:f>Adimensional_A!C5</x:f>
        <x:v>0.6342872144919938</x:v>
      </x:c>
      <x:c r="D5" t="n">
        <x:f>Adimensional_A!D5</x:f>
        <x:v>0.956</x:v>
      </x:c>
      <x:c r="E5" t="n">
        <x:f>(Adimensional_A!B5-Reference_Stats!$B$2)/Reference_Stats!$C$2</x:f>
        <x:v>0.4065552567404517</x:v>
      </x:c>
      <x:c r="F5" t="n">
        <x:f>(Adimensional_A!C5-Reference_Stats!$B$3)/Reference_Stats!$C$3</x:f>
        <x:v>-1.367844132273259</x:v>
      </x:c>
      <x:c r="G5" t="n">
        <x:f>(Adimensional_A!D5-Reference_Stats!$B$4)/Reference_Stats!$C$4</x:f>
        <x:v>-1.1477706937115215</x:v>
      </x:c>
      <x:c r="H5" t="n">
        <x:f>Adimensional_A!E5</x:f>
        <x:v>8.5</x:v>
      </x:c>
      <x:c r="I5" t="n">
        <x:f>Adimensional_A!F5</x:f>
        <x:v>3.75</x:v>
      </x:c>
      <x:c r="J5" t="n">
        <x:f>Adimensional_A!G5</x:f>
        <x:v>41.875</x:v>
      </x:c>
      <x:c r="K5" t="n">
        <x:f>(Adimensional_A!E5-Reference_Stats!$B$5)/Reference_Stats!$C$5</x:f>
        <x:v>0.4320115342902455</x:v>
      </x:c>
      <x:c r="L5" t="n">
        <x:f>(Adimensional_A!F5-Reference_Stats!$B$6)/Reference_Stats!$C$6</x:f>
        <x:v>0.5595760560740299</x:v>
      </x:c>
      <x:c r="M5" t="n">
        <x:f>(Adimensional_A!G5-Reference_Stats!$B$7)/Reference_Stats!$C$7</x:f>
        <x:v>1.2314843983306816</x:v>
      </x:c>
      <x:c r="N5" t="str">
        <x:f>Adimensional_A!I5</x:f>
        <x:v>γ≈1.00</x:v>
      </x:c>
      <x:c r="O5" t="str">
        <x:f>Adimensional_A!J5</x:f>
        <x:v>Train</x:v>
      </x:c>
    </x:row>
    <x:row r="6">
      <x:c r="A6" t="n">
        <x:f>Adimensional_A!A6</x:f>
        <x:v>4</x:v>
      </x:c>
      <x:c r="B6" t="n">
        <x:f>Adimensional_A!B6</x:f>
        <x:v>6.12</x:v>
      </x:c>
      <x:c r="C6" t="n">
        <x:f>Adimensional_A!C6</x:f>
        <x:v>0.9514308217379907</x:v>
      </x:c>
      <x:c r="D6" t="n">
        <x:f>Adimensional_A!D6</x:f>
        <x:v>0.957</x:v>
      </x:c>
      <x:c r="E6" t="n">
        <x:f>(Adimensional_A!B6-Reference_Stats!$B$2)/Reference_Stats!$C$2</x:f>
        <x:v>0.05218837407855765</x:v>
      </x:c>
      <x:c r="F6" t="n">
        <x:f>(Adimensional_A!C6-Reference_Stats!$B$3)/Reference_Stats!$C$3</x:f>
        <x:v>-0.18165912740168916</x:v>
      </x:c>
      <x:c r="G6" t="n">
        <x:f>(Adimensional_A!D6-Reference_Stats!$B$4)/Reference_Stats!$C$4</x:f>
        <x:v>-1.1445250033345327</x:v>
      </x:c>
      <x:c r="H6" t="n">
        <x:f>Adimensional_A!E6</x:f>
        <x:v>8.208333333333334</x:v>
      </x:c>
      <x:c r="I6" t="n">
        <x:f>Adimensional_A!F6</x:f>
        <x:v>3.75</x:v>
      </x:c>
      <x:c r="J6" t="n">
        <x:f>Adimensional_A!G6</x:f>
        <x:v>37.083333333333336</x:v>
      </x:c>
      <x:c r="K6" t="n">
        <x:f>(Adimensional_A!E6-Reference_Stats!$B$5)/Reference_Stats!$C$5</x:f>
        <x:v>0.31406665343986373</x:v>
      </x:c>
      <x:c r="L6" t="n">
        <x:f>(Adimensional_A!F6-Reference_Stats!$B$6)/Reference_Stats!$C$6</x:f>
        <x:v>0.5595760560740299</x:v>
      </x:c>
      <x:c r="M6" t="n">
        <x:f>(Adimensional_A!G6-Reference_Stats!$B$7)/Reference_Stats!$C$7</x:f>
        <x:v>0.8280779867841901</x:v>
      </x:c>
      <x:c r="N6" t="str">
        <x:f>Adimensional_A!I6</x:f>
        <x:v>γ≈1.00</x:v>
      </x:c>
      <x:c r="O6" t="str">
        <x:f>Adimensional_A!J6</x:f>
        <x:v>Train</x:v>
      </x:c>
    </x:row>
    <x:row r="7">
      <x:c r="A7" t="n">
        <x:f>Adimensional_A!A7</x:f>
        <x:v>5</x:v>
      </x:c>
      <x:c r="B7" t="n">
        <x:f>Adimensional_A!B7</x:f>
        <x:v>4.89</x:v>
      </x:c>
      <x:c r="C7" t="n">
        <x:f>Adimensional_A!C7</x:f>
        <x:v>0.6342872144919938</x:v>
      </x:c>
      <x:c r="D7" t="n">
        <x:f>Adimensional_A!D7</x:f>
        <x:v>0.959</x:v>
      </x:c>
      <x:c r="E7" t="n">
        <x:f>(Adimensional_A!B7-Reference_Stats!$B$2)/Reference_Stats!$C$2</x:f>
        <x:v>-0.6396707777851406</x:v>
      </x:c>
      <x:c r="F7" t="n">
        <x:f>(Adimensional_A!C7-Reference_Stats!$B$3)/Reference_Stats!$C$3</x:f>
        <x:v>-1.367844132273259</x:v>
      </x:c>
      <x:c r="G7" t="n">
        <x:f>(Adimensional_A!D7-Reference_Stats!$B$4)/Reference_Stats!$C$4</x:f>
        <x:v>-1.1380336225805554</x:v>
      </x:c>
      <x:c r="H7" t="n">
        <x:f>Adimensional_A!E7</x:f>
        <x:v>5.9375</x:v>
      </x:c>
      <x:c r="I7" t="n">
        <x:f>Adimensional_A!F7</x:f>
        <x:v>2.5</x:v>
      </x:c>
      <x:c r="J7" t="n">
        <x:f>Adimensional_A!G7</x:f>
        <x:v>27.5</x:v>
      </x:c>
      <x:c r="K7" t="n">
        <x:f>(Adimensional_A!E7-Reference_Stats!$B$5)/Reference_Stats!$C$5</x:f>
        <x:v>-0.6042184903238252</x:v>
      </x:c>
      <x:c r="L7" t="n">
        <x:f>(Adimensional_A!F7-Reference_Stats!$B$6)/Reference_Stats!$C$6</x:f>
        <x:v>-0.4068822699557767</x:v>
      </x:c>
      <x:c r="M7" t="n">
        <x:f>(Adimensional_A!G7-Reference_Stats!$B$7)/Reference_Stats!$C$7</x:f>
        <x:v>0.021265163691206655</x:v>
      </x:c>
      <x:c r="N7" t="str">
        <x:f>Adimensional_A!I7</x:f>
        <x:v>γ≈1.00</x:v>
      </x:c>
      <x:c r="O7" t="str">
        <x:f>Adimensional_A!J7</x:f>
        <x:v>Train</x:v>
      </x:c>
    </x:row>
    <x:row r="8">
      <x:c r="A8" t="n">
        <x:f>Adimensional_A!A8</x:f>
        <x:v>6</x:v>
      </x:c>
      <x:c r="B8" t="n">
        <x:f>Adimensional_A!B8</x:f>
        <x:v>3.99</x:v>
      </x:c>
      <x:c r="C8" t="n">
        <x:f>Adimensional_A!C8</x:f>
        <x:v>0.6342872144919938</x:v>
      </x:c>
      <x:c r="D8" t="n">
        <x:f>Adimensional_A!D8</x:f>
        <x:v>0.973</x:v>
      </x:c>
      <x:c r="E8" t="n">
        <x:f>(Adimensional_A!B8-Reference_Stats!$B$2)/Reference_Stats!$C$2</x:f>
        <x:v>-1.1459091815878462</x:v>
      </x:c>
      <x:c r="F8" t="n">
        <x:f>(Adimensional_A!C8-Reference_Stats!$B$3)/Reference_Stats!$C$3</x:f>
        <x:v>-1.367844132273259</x:v>
      </x:c>
      <x:c r="G8" t="n">
        <x:f>(Adimensional_A!D8-Reference_Stats!$B$4)/Reference_Stats!$C$4</x:f>
        <x:v>-1.0925939573027144</x:v>
      </x:c>
      <x:c r="H8" t="n">
        <x:f>Adimensional_A!E8</x:f>
        <x:v>3.9374999999999996</x:v>
      </x:c>
      <x:c r="I8" t="n">
        <x:f>Adimensional_A!F8</x:f>
        <x:v>1.5625</x:v>
      </x:c>
      <x:c r="J8" t="n">
        <x:f>Adimensional_A!G8</x:f>
        <x:v>20</x:v>
      </x:c>
      <x:c r="K8" t="n">
        <x:f>(Adimensional_A!E8-Reference_Stats!$B$5)/Reference_Stats!$C$5</x:f>
        <x:v>-1.412983387583588</x:v>
      </x:c>
      <x:c r="L8" t="n">
        <x:f>(Adimensional_A!F8-Reference_Stats!$B$6)/Reference_Stats!$C$6</x:f>
        <x:v>-1.1317260144781316</x:v>
      </x:c>
      <x:c r="M8" t="n">
        <x:f>(Adimensional_A!G8-Reference_Stats!$B$7)/Reference_Stats!$C$7</x:f>
        <x:v>-0.6101535674250411</x:v>
      </x:c>
      <x:c r="N8" t="str">
        <x:f>Adimensional_A!I8</x:f>
        <x:v>γ≈1.00</x:v>
      </x:c>
      <x:c r="O8" t="str">
        <x:f>Adimensional_A!J8</x:f>
        <x:v>Train</x:v>
      </x:c>
    </x:row>
    <x:row r="9">
      <x:c r="A9" t="n">
        <x:f>Adimensional_A!A9</x:f>
        <x:v>7</x:v>
      </x:c>
      <x:c r="B9" t="n">
        <x:f>Adimensional_A!B9</x:f>
        <x:v>5.68</x:v>
      </x:c>
      <x:c r="C9" t="n">
        <x:f>Adimensional_A!C9</x:f>
        <x:v>0.6342872144919938</x:v>
      </x:c>
      <x:c r="D9" t="n">
        <x:f>Adimensional_A!D9</x:f>
        <x:v>0.974</x:v>
      </x:c>
      <x:c r="E9" t="n">
        <x:f>(Adimensional_A!B9-Reference_Stats!$B$2)/Reference_Stats!$C$2</x:f>
        <x:v>-0.1953059566694321</x:v>
      </x:c>
      <x:c r="F9" t="n">
        <x:f>(Adimensional_A!C9-Reference_Stats!$B$3)/Reference_Stats!$C$3</x:f>
        <x:v>-1.367844132273259</x:v>
      </x:c>
      <x:c r="G9" t="n">
        <x:f>(Adimensional_A!D9-Reference_Stats!$B$4)/Reference_Stats!$C$4</x:f>
        <x:v>-1.0893482669257257</x:v>
      </x:c>
      <x:c r="H9" t="n">
        <x:f>Adimensional_A!E9</x:f>
        <x:v>6.5</x:v>
      </x:c>
      <x:c r="I9" t="n">
        <x:f>Adimensional_A!F9</x:f>
        <x:v>2.8125</x:v>
      </x:c>
      <x:c r="J9" t="n">
        <x:f>Adimensional_A!G9</x:f>
        <x:v>33.125</x:v>
      </x:c>
      <x:c r="K9" t="n">
        <x:f>(Adimensional_A!E9-Reference_Stats!$B$5)/Reference_Stats!$C$5</x:f>
        <x:v>-0.37675336296951706</x:v>
      </x:c>
      <x:c r="L9" t="n">
        <x:f>(Adimensional_A!F9-Reference_Stats!$B$6)/Reference_Stats!$C$6</x:f>
        <x:v>-0.16526768844832507</x:v>
      </x:c>
      <x:c r="M9" t="n">
        <x:f>(Adimensional_A!G9-Reference_Stats!$B$7)/Reference_Stats!$C$7</x:f>
        <x:v>0.4948292120283925</x:v>
      </x:c>
      <x:c r="N9" t="str">
        <x:f>Adimensional_A!I9</x:f>
        <x:v>γ≈1.00</x:v>
      </x:c>
      <x:c r="O9" t="str">
        <x:f>Adimensional_A!J9</x:f>
        <x:v>Test</x:v>
      </x:c>
    </x:row>
    <x:row r="10">
      <x:c r="A10" t="n">
        <x:f>Adimensional_A!A10</x:f>
        <x:v>8</x:v>
      </x:c>
      <x:c r="B10" t="n">
        <x:f>Adimensional_A!B10</x:f>
        <x:v>6.1</x:v>
      </x:c>
      <x:c r="C10" t="n">
        <x:f>Adimensional_A!C10</x:f>
        <x:v>0.6342872144919938</x:v>
      </x:c>
      <x:c r="D10" t="n">
        <x:f>Adimensional_A!D10</x:f>
        <x:v>0.974</x:v>
      </x:c>
      <x:c r="E10" t="n">
        <x:f>(Adimensional_A!B10-Reference_Stats!$B$2)/Reference_Stats!$C$2</x:f>
        <x:v>0.040938631771830596</x:v>
      </x:c>
      <x:c r="F10" t="n">
        <x:f>(Adimensional_A!C10-Reference_Stats!$B$3)/Reference_Stats!$C$3</x:f>
        <x:v>-1.367844132273259</x:v>
      </x:c>
      <x:c r="G10" t="n">
        <x:f>(Adimensional_A!D10-Reference_Stats!$B$4)/Reference_Stats!$C$4</x:f>
        <x:v>-1.0893482669257257</x:v>
      </x:c>
      <x:c r="H10" t="n">
        <x:f>Adimensional_A!E10</x:f>
        <x:v>7.375</x:v>
      </x:c>
      <x:c r="I10" t="n">
        <x:f>Adimensional_A!F10</x:f>
        <x:v>3.125</x:v>
      </x:c>
      <x:c r="J10" t="n">
        <x:f>Adimensional_A!G10</x:f>
        <x:v>36.25</x:v>
      </x:c>
      <x:c r="K10" t="n">
        <x:f>(Adimensional_A!E10-Reference_Stats!$B$5)/Reference_Stats!$C$5</x:f>
        <x:v>-0.02291872041837092</x:v>
      </x:c>
      <x:c r="L10" t="n">
        <x:f>(Adimensional_A!F10-Reference_Stats!$B$6)/Reference_Stats!$C$6</x:f>
        <x:v>0.07634689305912658</x:v>
      </x:c>
      <x:c r="M10" t="n">
        <x:f>(Adimensional_A!G10-Reference_Stats!$B$7)/Reference_Stats!$C$7</x:f>
        <x:v>0.7579203499934957</x:v>
      </x:c>
      <x:c r="N10" t="str">
        <x:f>Adimensional_A!I10</x:f>
        <x:v>γ≈1.00</x:v>
      </x:c>
      <x:c r="O10" t="str">
        <x:f>Adimensional_A!J10</x:f>
        <x:v>Train</x:v>
      </x:c>
    </x:row>
    <x:row r="11">
      <x:c r="A11" t="n">
        <x:f>Adimensional_A!A11</x:f>
        <x:v>9</x:v>
      </x:c>
      <x:c r="B11" t="n">
        <x:f>Adimensional_A!B11</x:f>
        <x:v>3.05</x:v>
      </x:c>
      <x:c r="C11" t="n">
        <x:f>Adimensional_A!C11</x:f>
        <x:v>1.7839327907587326</x:v>
      </x:c>
      <x:c r="D11" t="n">
        <x:f>Adimensional_A!D11</x:f>
        <x:v>0.975</x:v>
      </x:c>
      <x:c r="E11" t="n">
        <x:f>(Adimensional_A!B11-Reference_Stats!$B$2)/Reference_Stats!$C$2</x:f>
        <x:v>-1.674647070004006</x:v>
      </x:c>
      <x:c r="F11" t="n">
        <x:f>(Adimensional_A!C11-Reference_Stats!$B$3)/Reference_Stats!$C$3</x:f>
        <x:v>2.932076510386182</x:v>
      </x:c>
      <x:c r="G11" t="n">
        <x:f>(Adimensional_A!D11-Reference_Stats!$B$4)/Reference_Stats!$C$4</x:f>
        <x:v>-1.086102576548737</x:v>
      </x:c>
      <x:c r="H11" t="n">
        <x:f>Adimensional_A!E11</x:f>
        <x:v>3.511111111111111</x:v>
      </x:c>
      <x:c r="I11" t="n">
        <x:f>Adimensional_A!F11</x:f>
        <x:v>1.1111111111111112</x:v>
      </x:c>
      <x:c r="J11" t="n">
        <x:f>Adimensional_A!G11</x:f>
        <x:v>12.222222222222221</x:v>
      </x:c>
      <x:c r="K11" t="n">
        <x:f>(Adimensional_A!E11-Reference_Stats!$B$5)/Reference_Stats!$C$5</x:f>
        <x:v>-1.585407570541051</x:v>
      </x:c>
      <x:c r="L11" t="n">
        <x:f>(Adimensional_A!F11-Reference_Stats!$B$6)/Reference_Stats!$C$6</x:f>
        <x:v>-1.4807248544333396</x:v>
      </x:c>
      <x:c r="M11" t="n">
        <x:f>(Adimensional_A!G11-Reference_Stats!$B$7)/Reference_Stats!$C$7</x:f>
        <x:v>-1.2649581774715204</x:v>
      </x:c>
      <x:c r="N11" t="str">
        <x:f>Adimensional_A!I11</x:f>
        <x:v>γ≈1.00</x:v>
      </x:c>
      <x:c r="O11" t="str">
        <x:f>Adimensional_A!J11</x:f>
        <x:v>Train</x:v>
      </x:c>
    </x:row>
    <x:row r="12">
      <x:c r="A12" t="n">
        <x:f>Adimensional_A!A12</x:f>
        <x:v>10</x:v>
      </x:c>
      <x:c r="B12" t="n">
        <x:f>Adimensional_A!B12</x:f>
        <x:v>6.16</x:v>
      </x:c>
      <x:c r="C12" t="n">
        <x:f>Adimensional_A!C12</x:f>
        <x:v>0.6739301653977433</x:v>
      </x:c>
      <x:c r="D12" t="n">
        <x:f>Adimensional_A!D12</x:f>
        <x:v>0.982</x:v>
      </x:c>
      <x:c r="E12" t="n">
        <x:f>(Adimensional_A!B12-Reference_Stats!$B$2)/Reference_Stats!$C$2</x:f>
        <x:v>0.07468785869201126</x:v>
      </x:c>
      <x:c r="F12" t="n">
        <x:f>(Adimensional_A!C12-Reference_Stats!$B$3)/Reference_Stats!$C$3</x:f>
        <x:v>-1.219571006664313</x:v>
      </x:c>
      <x:c r="G12" t="n">
        <x:f>(Adimensional_A!D12-Reference_Stats!$B$4)/Reference_Stats!$C$4</x:f>
        <x:v>-1.0633827439098165</x:v>
      </x:c>
      <x:c r="H12" t="n">
        <x:f>Adimensional_A!E12</x:f>
        <x:v>7.882352941176471</x:v>
      </x:c>
      <x:c r="I12" t="n">
        <x:f>Adimensional_A!F12</x:f>
        <x:v>4.11764705882353</x:v>
      </x:c>
      <x:c r="J12" t="n">
        <x:f>Adimensional_A!G12</x:f>
        <x:v>36.470588235294116</x:v>
      </x:c>
      <x:c r="K12" t="n">
        <x:f>(Adimensional_A!E12-Reference_Stats!$B$5)/Reference_Stats!$C$5</x:f>
        <x:v>0.18224590425414255</x:v>
      </x:c>
      <x:c r="L12" t="n">
        <x:f>(Adimensional_A!F12-Reference_Stats!$B$6)/Reference_Stats!$C$6</x:f>
        <x:v>0.8438285049063263</x:v>
      </x:c>
      <x:c r="M12" t="n">
        <x:f>(Adimensional_A!G12-Reference_Stats!$B$7)/Reference_Stats!$C$7</x:f>
        <x:v>0.7764914891439735</x:v>
      </x:c>
      <x:c r="N12" t="str">
        <x:f>Adimensional_A!I12</x:f>
        <x:v>γ≈1.00</x:v>
      </x:c>
      <x:c r="O12" t="str">
        <x:f>Adimensional_A!J12</x:f>
        <x:v>Test</x:v>
      </x:c>
    </x:row>
    <x:row r="13">
      <x:c r="A13" t="n">
        <x:f>Adimensional_A!A13</x:f>
        <x:v>11</x:v>
      </x:c>
      <x:c r="B13" t="n">
        <x:f>Adimensional_A!B13</x:f>
        <x:v>8.99</x:v>
      </x:c>
      <x:c r="C13" t="n">
        <x:f>Adimensional_A!C13</x:f>
        <x:v>0.6342872144919938</x:v>
      </x:c>
      <x:c r="D13" t="n">
        <x:f>Adimensional_A!D13</x:f>
        <x:v>0.986</x:v>
      </x:c>
      <x:c r="E13" t="n">
        <x:f>(Adimensional_A!B13-Reference_Stats!$B$2)/Reference_Stats!$C$2</x:f>
        <x:v>1.6665263950938531</x:v>
      </x:c>
      <x:c r="F13" t="n">
        <x:f>(Adimensional_A!C13-Reference_Stats!$B$3)/Reference_Stats!$C$3</x:f>
        <x:v>-1.367844132273259</x:v>
      </x:c>
      <x:c r="G13" t="n">
        <x:f>(Adimensional_A!D13-Reference_Stats!$B$4)/Reference_Stats!$C$4</x:f>
        <x:v>-1.0503999824018617</x:v>
      </x:c>
      <x:c r="H13" t="n">
        <x:f>Adimensional_A!E13</x:f>
        <x:v>11.625</x:v>
      </x:c>
      <x:c r="I13" t="n">
        <x:f>Adimensional_A!F13</x:f>
        <x:v>5.625</x:v>
      </x:c>
      <x:c r="J13" t="n">
        <x:f>Adimensional_A!G13</x:f>
        <x:v>56.25</x:v>
      </x:c>
      <x:c r="K13" t="n">
        <x:f>(Adimensional_A!E13-Reference_Stats!$B$5)/Reference_Stats!$C$5</x:f>
        <x:v>1.6957066862586245</x:v>
      </x:c>
      <x:c r="L13" t="n">
        <x:f>(Adimensional_A!F13-Reference_Stats!$B$6)/Reference_Stats!$C$6</x:f>
        <x:v>2.0092635451187397</x:v>
      </x:c>
      <x:c r="M13" t="n">
        <x:f>(Adimensional_A!G13-Reference_Stats!$B$7)/Reference_Stats!$C$7</x:f>
        <x:v>2.4417036329701562</x:v>
      </x:c>
      <x:c r="N13" t="str">
        <x:f>Adimensional_A!I13</x:f>
        <x:v>γ≈1.00</x:v>
      </x:c>
      <x:c r="O13" t="str">
        <x:f>Adimensional_A!J13</x:f>
        <x:v>Train</x:v>
      </x:c>
    </x:row>
    <x:row r="14">
      <x:c r="A14" t="n">
        <x:f>Adimensional_A!A14</x:f>
        <x:v>12</x:v>
      </x:c>
      <x:c r="B14" t="n">
        <x:f>Adimensional_A!B14</x:f>
        <x:v>4.2</x:v>
      </x:c>
      <x:c r="C14" t="n">
        <x:f>Adimensional_A!C14</x:f>
        <x:v>1.3478603307954866</x:v>
      </x:c>
      <x:c r="D14" t="n">
        <x:f>Adimensional_A!D14</x:f>
        <x:v>0.991</x:v>
      </x:c>
      <x:c r="E14" t="n">
        <x:f>(Adimensional_A!B14-Reference_Stats!$B$2)/Reference_Stats!$C$2</x:f>
        <x:v>-1.027786887367215</x:v>
      </x:c>
      <x:c r="F14" t="n">
        <x:f>(Adimensional_A!C14-Reference_Stats!$B$3)/Reference_Stats!$C$3</x:f>
        <x:v>1.3010721286877727</x:v>
      </x:c>
      <x:c r="G14" t="n">
        <x:f>(Adimensional_A!D14-Reference_Stats!$B$4)/Reference_Stats!$C$4</x:f>
        <x:v>-1.0341715305169186</x:v>
      </x:c>
      <x:c r="H14" t="n">
        <x:f>Adimensional_A!E14</x:f>
        <x:v>5.088235294117648</x:v>
      </x:c>
      <x:c r="I14" t="n">
        <x:f>Adimensional_A!F14</x:f>
        <x:v>2.058823529411765</x:v>
      </x:c>
      <x:c r="J14" t="n">
        <x:f>Adimensional_A!G14</x:f>
        <x:v>20.58823529411765</x:v>
      </x:c>
      <x:c r="K14" t="n">
        <x:f>(Adimensional_A!E14-Reference_Stats!$B$5)/Reference_Stats!$C$5</x:f>
        <x:v>-0.9476462316234668</x:v>
      </x:c>
      <x:c r="L14" t="n">
        <x:f>(Adimensional_A!F14-Reference_Stats!$B$6)/Reference_Stats!$C$6</x:f>
        <x:v>-0.7479852085545318</x:v>
      </x:c>
      <x:c r="M14" t="n">
        <x:f>(Adimensional_A!G14-Reference_Stats!$B$7)/Reference_Stats!$C$7</x:f>
        <x:v>-0.5606305296904334</x:v>
      </x:c>
      <x:c r="N14" t="str">
        <x:f>Adimensional_A!I14</x:f>
        <x:v>γ≈1.00</x:v>
      </x:c>
      <x:c r="O14" t="str">
        <x:f>Adimensional_A!J14</x:f>
        <x:v>Train</x:v>
      </x:c>
    </x:row>
    <x:row r="15">
      <x:c r="A15" t="n">
        <x:f>Adimensional_A!A15</x:f>
        <x:v>13</x:v>
      </x:c>
      <x:c r="B15" t="n">
        <x:f>Adimensional_A!B15</x:f>
        <x:v>7.45</x:v>
      </x:c>
      <x:c r="C15" t="n">
        <x:f>Adimensional_A!C15</x:f>
        <x:v>0.911787870832241</x:v>
      </x:c>
      <x:c r="D15" t="n">
        <x:f>Adimensional_A!D15</x:f>
        <x:v>0.995</x:v>
      </x:c>
      <x:c r="E15" t="n">
        <x:f>(Adimensional_A!B15-Reference_Stats!$B$2)/Reference_Stats!$C$2</x:f>
        <x:v>0.8002962374758897</x:v>
      </x:c>
      <x:c r="F15" t="n">
        <x:f>(Adimensional_A!C15-Reference_Stats!$B$3)/Reference_Stats!$C$3</x:f>
        <x:v>-0.32993225301063556</x:v>
      </x:c>
      <x:c r="G15" t="n">
        <x:f>(Adimensional_A!D15-Reference_Stats!$B$4)/Reference_Stats!$C$4</x:f>
        <x:v>-1.0211887690089638</x:v>
      </x:c>
      <x:c r="H15" t="n">
        <x:f>Adimensional_A!E15</x:f>
        <x:v>10.304347826086957</x:v>
      </x:c>
      <x:c r="I15" t="n">
        <x:f>Adimensional_A!F15</x:f>
        <x:v>4.782608695652175</x:v>
      </x:c>
      <x:c r="J15" t="n">
        <x:f>Adimensional_A!G15</x:f>
        <x:v>45.21739130434783</x:v>
      </x:c>
      <x:c r="K15" t="n">
        <x:f>(Adimensional_A!E15-Reference_Stats!$B$5)/Reference_Stats!$C$5</x:f>
        <x:v>1.1616581263832924</x:v>
      </x:c>
      <x:c r="L15" t="n">
        <x:f>(Adimensional_A!F15-Reference_Stats!$B$6)/Reference_Stats!$C$6</x:f>
        <x:v>1.3579546732290881</x:v>
      </x:c>
      <x:c r="M15" t="n">
        <x:f>(Adimensional_A!G15-Reference_Stats!$B$7)/Reference_Stats!$C$7</x:f>
        <x:v>1.512877528502053</x:v>
      </x:c>
      <x:c r="N15" t="str">
        <x:f>Adimensional_A!I15</x:f>
        <x:v>γ≈1.00</x:v>
      </x:c>
      <x:c r="O15" t="str">
        <x:f>Adimensional_A!J15</x:f>
        <x:v>Train</x:v>
      </x:c>
    </x:row>
    <x:row r="16">
      <x:c r="A16" t="n">
        <x:f>Adimensional_A!A16</x:f>
        <x:v>14</x:v>
      </x:c>
      <x:c r="B16" t="n">
        <x:f>Adimensional_A!B16</x:f>
        <x:v>4.99</x:v>
      </x:c>
      <x:c r="C16" t="n">
        <x:f>Adimensional_A!C16</x:f>
        <x:v>0.9910737726437403</x:v>
      </x:c>
      <x:c r="D16" t="n">
        <x:f>Adimensional_A!D16</x:f>
        <x:v>0.997</x:v>
      </x:c>
      <x:c r="E16" t="n">
        <x:f>(Adimensional_A!B16-Reference_Stats!$B$2)/Reference_Stats!$C$2</x:f>
        <x:v>-0.5834220662515063</x:v>
      </x:c>
      <x:c r="F16" t="n">
        <x:f>(Adimensional_A!C16-Reference_Stats!$B$3)/Reference_Stats!$C$3</x:f>
        <x:v>-0.03338600179274276</x:v>
      </x:c>
      <x:c r="G16" t="n">
        <x:f>(Adimensional_A!D16-Reference_Stats!$B$4)/Reference_Stats!$C$4</x:f>
        <x:v>-1.0146973882549866</x:v>
      </x:c>
      <x:c r="H16" t="n">
        <x:f>Adimensional_A!E16</x:f>
        <x:v>6.44</x:v>
      </x:c>
      <x:c r="I16" t="n">
        <x:f>Adimensional_A!F16</x:f>
        <x:v>2.8</x:v>
      </x:c>
      <x:c r="J16" t="n">
        <x:f>Adimensional_A!G16</x:f>
        <x:v>27.2</x:v>
      </x:c>
      <x:c r="K16" t="n">
        <x:f>(Adimensional_A!E16-Reference_Stats!$B$5)/Reference_Stats!$C$5</x:f>
        <x:v>-0.40101630988730974</x:v>
      </x:c>
      <x:c r="L16" t="n">
        <x:f>(Adimensional_A!F16-Reference_Stats!$B$6)/Reference_Stats!$C$6</x:f>
        <x:v>-0.17493227170862327</x:v>
      </x:c>
      <x:c r="M16" t="n">
        <x:f>(Adimensional_A!G16-Reference_Stats!$B$7)/Reference_Stats!$C$7</x:f>
        <x:v>-0.003991585553443315</x:v>
      </x:c>
      <x:c r="N16" t="str">
        <x:f>Adimensional_A!I16</x:f>
        <x:v>γ≈1.00</x:v>
      </x:c>
      <x:c r="O16" t="str">
        <x:f>Adimensional_A!J16</x:f>
        <x:v>Test</x:v>
      </x:c>
    </x:row>
    <x:row r="17">
      <x:c r="A17" t="n">
        <x:f>Adimensional_A!A17</x:f>
        <x:v>15</x:v>
      </x:c>
      <x:c r="B17" t="n">
        <x:f>Adimensional_A!B17</x:f>
        <x:v>3.4</x:v>
      </x:c>
      <x:c r="C17" t="n">
        <x:f>Adimensional_A!C17</x:f>
        <x:v>1.3478603307954866</x:v>
      </x:c>
      <x:c r="D17" t="n">
        <x:f>Adimensional_A!D17</x:f>
        <x:v>0.998</x:v>
      </x:c>
      <x:c r="E17" t="n">
        <x:f>(Adimensional_A!B17-Reference_Stats!$B$2)/Reference_Stats!$C$2</x:f>
        <x:v>-1.477776579636287</x:v>
      </x:c>
      <x:c r="F17" t="n">
        <x:f>(Adimensional_A!C17-Reference_Stats!$B$3)/Reference_Stats!$C$3</x:f>
        <x:v>1.3010721286877727</x:v>
      </x:c>
      <x:c r="G17" t="n">
        <x:f>(Adimensional_A!D17-Reference_Stats!$B$4)/Reference_Stats!$C$4</x:f>
        <x:v>-1.011451697877998</x:v>
      </x:c>
      <x:c r="H17" t="n">
        <x:f>Adimensional_A!E17</x:f>
        <x:v>4.264705882352941</x:v>
      </x:c>
      <x:c r="I17" t="n">
        <x:f>Adimensional_A!F17</x:f>
        <x:v>1.4705882352941178</x:v>
      </x:c>
      <x:c r="J17" t="n">
        <x:f>Adimensional_A!G17</x:f>
        <x:v>14.558823529411764</x:v>
      </x:c>
      <x:c r="K17" t="n">
        <x:f>(Adimensional_A!E17-Reference_Stats!$B$5)/Reference_Stats!$C$5</x:f>
        <x:v>-1.2806670716716047</x:v>
      </x:c>
      <x:c r="L17" t="n">
        <x:f>(Adimensional_A!F17-Reference_Stats!$B$6)/Reference_Stats!$C$6</x:f>
        <x:v>-1.2027891266862056</x:v>
      </x:c>
      <x:c r="M17" t="n">
        <x:f>(Adimensional_A!G17-Reference_Stats!$B$7)/Reference_Stats!$C$7</x:f>
        <x:v>-1.068241666470162</x:v>
      </x:c>
      <x:c r="N17" t="str">
        <x:f>Adimensional_A!I17</x:f>
        <x:v>γ≈1.00</x:v>
      </x:c>
      <x:c r="O17" t="str">
        <x:f>Adimensional_A!J17</x:f>
        <x:v>Train</x:v>
      </x:c>
    </x:row>
    <x:row r="18">
      <x:c r="A18" t="n">
        <x:f>Adimensional_A!A18</x:f>
        <x:v>16</x:v>
      </x:c>
      <x:c r="B18" t="n">
        <x:f>Adimensional_A!B18</x:f>
        <x:v>5.42</x:v>
      </x:c>
      <x:c r="C18" t="n">
        <x:f>Adimensional_A!C18</x:f>
        <x:v>0.9910737726437403</x:v>
      </x:c>
      <x:c r="D18" t="n">
        <x:f>Adimensional_A!D18</x:f>
        <x:v>0.998</x:v>
      </x:c>
      <x:c r="E18" t="n">
        <x:f>(Adimensional_A!B18-Reference_Stats!$B$2)/Reference_Stats!$C$2</x:f>
        <x:v>-0.34155260665688036</x:v>
      </x:c>
      <x:c r="F18" t="n">
        <x:f>(Adimensional_A!C18-Reference_Stats!$B$3)/Reference_Stats!$C$3</x:f>
        <x:v>-0.03338600179274276</x:v>
      </x:c>
      <x:c r="G18" t="n">
        <x:f>(Adimensional_A!D18-Reference_Stats!$B$4)/Reference_Stats!$C$4</x:f>
        <x:v>-1.011451697877998</x:v>
      </x:c>
      <x:c r="H18" t="n">
        <x:f>Adimensional_A!E18</x:f>
        <x:v>7.2</x:v>
      </x:c>
      <x:c r="I18" t="n">
        <x:f>Adimensional_A!F18</x:f>
        <x:v>3.2</x:v>
      </x:c>
      <x:c r="J18" t="n">
        <x:f>Adimensional_A!G18</x:f>
        <x:v>30.4</x:v>
      </x:c>
      <x:c r="K18" t="n">
        <x:f>(Adimensional_A!E18-Reference_Stats!$B$5)/Reference_Stats!$C$5</x:f>
        <x:v>-0.09368564892860007</x:v>
      </x:c>
      <x:c r="L18" t="n">
        <x:f>(Adimensional_A!F18-Reference_Stats!$B$6)/Reference_Stats!$C$6</x:f>
        <x:v>0.13433439262091512</x:v>
      </x:c>
      <x:c r="M18" t="n">
        <x:f>(Adimensional_A!G18-Reference_Stats!$B$7)/Reference_Stats!$C$7</x:f>
        <x:v>0.26541373972282234</x:v>
      </x:c>
      <x:c r="N18" t="str">
        <x:f>Adimensional_A!I18</x:f>
        <x:v>γ≈1.00</x:v>
      </x:c>
      <x:c r="O18" t="str">
        <x:f>Adimensional_A!J18</x:f>
        <x:v>Train</x:v>
      </x:c>
    </x:row>
    <x:row r="19">
      <x:c r="A19" t="n">
        <x:f>Adimensional_A!A19</x:f>
        <x:v>17</x:v>
      </x:c>
      <x:c r="B19" t="n">
        <x:f>Adimensional_A!B19</x:f>
        <x:v>8.17</x:v>
      </x:c>
      <x:c r="C19" t="n">
        <x:f>Adimensional_A!C19</x:f>
        <x:v>0.911787870832241</x:v>
      </x:c>
      <x:c r="D19" t="n">
        <x:f>Adimensional_A!D19</x:f>
        <x:v>0.998</x:v>
      </x:c>
      <x:c r="E19" t="n">
        <x:f>(Adimensional_A!B19-Reference_Stats!$B$2)/Reference_Stats!$C$2</x:f>
        <x:v>1.2052869605180543</x:v>
      </x:c>
      <x:c r="F19" t="n">
        <x:f>(Adimensional_A!C19-Reference_Stats!$B$3)/Reference_Stats!$C$3</x:f>
        <x:v>-0.32993225301063556</x:v>
      </x:c>
      <x:c r="G19" t="n">
        <x:f>(Adimensional_A!D19-Reference_Stats!$B$4)/Reference_Stats!$C$4</x:f>
        <x:v>-1.011451697877998</x:v>
      </x:c>
      <x:c r="H19" t="n">
        <x:f>Adimensional_A!E19</x:f>
        <x:v>10.73913043478261</x:v>
      </x:c>
      <x:c r="I19" t="n">
        <x:f>Adimensional_A!F19</x:f>
        <x:v>5.217391304347826</x:v>
      </x:c>
      <x:c r="J19" t="n">
        <x:f>Adimensional_A!G19</x:f>
        <x:v>50.00000000000001</x:v>
      </x:c>
      <x:c r="K19" t="n">
        <x:f>(Adimensional_A!E19-Reference_Stats!$B$5)/Reference_Stats!$C$5</x:f>
        <x:v>1.3374765823093278</x:v>
      </x:c>
      <x:c r="L19" t="n">
        <x:f>(Adimensional_A!F19-Reference_Stats!$B$6)/Reference_Stats!$C$6</x:f>
        <x:v>1.6941140909785855</x:v>
      </x:c>
      <x:c r="M19" t="n">
        <x:f>(Adimensional_A!G19-Reference_Stats!$B$7)/Reference_Stats!$C$7</x:f>
        <x:v>1.9155213570399505</x:v>
      </x:c>
      <x:c r="N19" t="str">
        <x:f>Adimensional_A!I19</x:f>
        <x:v>γ≈1.00</x:v>
      </x:c>
      <x:c r="O19" t="str">
        <x:f>Adimensional_A!J19</x:f>
        <x:v>Train</x:v>
      </x:c>
    </x:row>
    <x:row r="20">
      <x:c r="A20" t="n">
        <x:f>Adimensional_A!A20</x:f>
        <x:v>18</x:v>
      </x:c>
      <x:c r="B20" t="n">
        <x:f>Adimensional_A!B20</x:f>
        <x:v>3.69</x:v>
      </x:c>
      <x:c r="C20" t="n">
        <x:f>Adimensional_A!C20</x:f>
        <x:v>0.9910737726437403</x:v>
      </x:c>
      <x:c r="D20" t="n">
        <x:f>Adimensional_A!D20</x:f>
        <x:v>0.999</x:v>
      </x:c>
      <x:c r="E20" t="n">
        <x:f>(Adimensional_A!B20-Reference_Stats!$B$2)/Reference_Stats!$C$2</x:f>
        <x:v>-1.3146553161887482</x:v>
      </x:c>
      <x:c r="F20" t="n">
        <x:f>(Adimensional_A!C20-Reference_Stats!$B$3)/Reference_Stats!$C$3</x:f>
        <x:v>-0.03338600179274276</x:v>
      </x:c>
      <x:c r="G20" t="n">
        <x:f>(Adimensional_A!D20-Reference_Stats!$B$4)/Reference_Stats!$C$4</x:f>
        <x:v>-1.0082060075010093</x:v>
      </x:c>
      <x:c r="H20" t="n">
        <x:f>Adimensional_A!E20</x:f>
        <x:v>4.5600000000000005</x:v>
      </x:c>
      <x:c r="I20" t="n">
        <x:f>Adimensional_A!F20</x:f>
        <x:v>1.6</x:v>
      </x:c>
      <x:c r="J20" t="n">
        <x:f>Adimensional_A!G20</x:f>
        <x:v>17.2</x:v>
      </x:c>
      <x:c r="K20" t="n">
        <x:f>(Adimensional_A!E20-Reference_Stats!$B$5)/Reference_Stats!$C$5</x:f>
        <x:v>-1.1612553133114865</x:v>
      </x:c>
      <x:c r="L20" t="n">
        <x:f>(Adimensional_A!F20-Reference_Stats!$B$6)/Reference_Stats!$C$6</x:f>
        <x:v>-1.1027322646972375</x:v>
      </x:c>
      <x:c r="M20" t="n">
        <x:f>(Adimensional_A!G20-Reference_Stats!$B$7)/Reference_Stats!$C$7</x:f>
        <x:v>-0.8458832270417737</x:v>
      </x:c>
      <x:c r="N20" t="str">
        <x:f>Adimensional_A!I20</x:f>
        <x:v>γ≈1.00</x:v>
      </x:c>
      <x:c r="O20" t="str">
        <x:f>Adimensional_A!J20</x:f>
        <x:v>Test</x:v>
      </x:c>
    </x:row>
    <x:row r="21">
      <x:c r="A21" t="n">
        <x:f>Adimensional_A!A21</x:f>
        <x:v>19</x:v>
      </x:c>
      <x:c r="B21" t="n">
        <x:f>Adimensional_A!B21</x:f>
        <x:v>4.52</x:v>
      </x:c>
      <x:c r="C21" t="n">
        <x:f>Adimensional_A!C21</x:f>
        <x:v>0.9910737726437403</x:v>
      </x:c>
      <x:c r="D21" t="n">
        <x:f>Adimensional_A!D21</x:f>
        <x:v>0.999</x:v>
      </x:c>
      <x:c r="E21" t="n">
        <x:f>(Adimensional_A!B21-Reference_Stats!$B$2)/Reference_Stats!$C$2</x:f>
        <x:v>-0.8477910104595864</x:v>
      </x:c>
      <x:c r="F21" t="n">
        <x:f>(Adimensional_A!C21-Reference_Stats!$B$3)/Reference_Stats!$C$3</x:f>
        <x:v>-0.03338600179274276</x:v>
      </x:c>
      <x:c r="G21" t="n">
        <x:f>(Adimensional_A!D21-Reference_Stats!$B$4)/Reference_Stats!$C$4</x:f>
        <x:v>-1.0082060075010093</x:v>
      </x:c>
      <x:c r="H21" t="n">
        <x:f>Adimensional_A!E21</x:f>
        <x:v>5.8</x:v>
      </x:c>
      <x:c r="I21" t="n">
        <x:f>Adimensional_A!F21</x:f>
        <x:v>2.4</x:v>
      </x:c>
      <x:c r="J21" t="n">
        <x:f>Adimensional_A!G21</x:f>
        <x:v>23.6</x:v>
      </x:c>
      <x:c r="K21" t="n">
        <x:f>(Adimensional_A!E21-Reference_Stats!$B$5)/Reference_Stats!$C$5</x:f>
        <x:v>-0.659821077010434</x:v>
      </x:c>
      <x:c r="L21" t="n">
        <x:f>(Adimensional_A!F21-Reference_Stats!$B$6)/Reference_Stats!$C$6</x:f>
        <x:v>-0.48419893603816133</x:v>
      </x:c>
      <x:c r="M21" t="n">
        <x:f>(Adimensional_A!G21-Reference_Stats!$B$7)/Reference_Stats!$C$7</x:f>
        <x:v>-0.3070725764892421</x:v>
      </x:c>
      <x:c r="N21" t="str">
        <x:f>Adimensional_A!I21</x:f>
        <x:v>γ≈1.00</x:v>
      </x:c>
      <x:c r="O21" t="str">
        <x:f>Adimensional_A!J21</x:f>
        <x:v>Train</x:v>
      </x:c>
    </x:row>
    <x:row r="22">
      <x:c r="A22" t="n">
        <x:f>Adimensional_A!A22</x:f>
        <x:v>20</x:v>
      </x:c>
      <x:c r="B22" t="n">
        <x:f>Adimensional_A!B22</x:f>
        <x:v>9.15</x:v>
      </x:c>
      <x:c r="C22" t="n">
        <x:f>Adimensional_A!C22</x:f>
        <x:v>0.911787870832241</x:v>
      </x:c>
      <x:c r="D22" t="n">
        <x:f>Adimensional_A!D22</x:f>
        <x:v>0.999</x:v>
      </x:c>
      <x:c r="E22" t="n">
        <x:f>(Adimensional_A!B22-Reference_Stats!$B$2)/Reference_Stats!$C$2</x:f>
        <x:v>1.7565243335476675</x:v>
      </x:c>
      <x:c r="F22" t="n">
        <x:f>(Adimensional_A!C22-Reference_Stats!$B$3)/Reference_Stats!$C$3</x:f>
        <x:v>-0.32993225301063556</x:v>
      </x:c>
      <x:c r="G22" t="n">
        <x:f>(Adimensional_A!D22-Reference_Stats!$B$4)/Reference_Stats!$C$4</x:f>
        <x:v>-1.0082060075010093</x:v>
      </x:c>
      <x:c r="H22" t="n">
        <x:f>Adimensional_A!E22</x:f>
        <x:v>11.73913043478261</x:v>
      </x:c>
      <x:c r="I22" t="n">
        <x:f>Adimensional_A!F22</x:f>
        <x:v>6.086956521739131</x:v>
      </x:c>
      <x:c r="J22" t="n">
        <x:f>Adimensional_A!G22</x:f>
        <x:v>56.52173913043479</x:v>
      </x:c>
      <x:c r="K22" t="n">
        <x:f>(Adimensional_A!E22-Reference_Stats!$B$5)/Reference_Stats!$C$5</x:f>
        <x:v>1.741859030939209</x:v>
      </x:c>
      <x:c r="L22" t="n">
        <x:f>(Adimensional_A!F22-Reference_Stats!$B$6)/Reference_Stats!$C$6</x:f>
        <x:v>2.366432926477582</x:v>
      </x:c>
      <x:c r="M22" t="n">
        <x:f>(Adimensional_A!G22-Reference_Stats!$B$7)/Reference_Stats!$C$7</x:f>
        <x:v>2.464581123227992</x:v>
      </x:c>
      <x:c r="N22" t="str">
        <x:f>Adimensional_A!I22</x:f>
        <x:v>γ≈1.00</x:v>
      </x:c>
      <x:c r="O22" t="str">
        <x:f>Adimensional_A!J22</x:f>
        <x:v>Test</x:v>
      </x:c>
    </x:row>
    <x:row r="23">
      <x:c r="A23" t="n">
        <x:f>Adimensional_A!A23</x:f>
        <x:v>21</x:v>
      </x:c>
      <x:c r="B23" t="n">
        <x:f>Adimensional_A!B23</x:f>
        <x:v>7.28</x:v>
      </x:c>
      <x:c r="C23" t="n">
        <x:f>Adimensional_A!C23</x:f>
        <x:v>0.9514308217379907</x:v>
      </x:c>
      <x:c r="D23" t="n">
        <x:f>Adimensional_A!D23</x:f>
        <x:v>1</x:v>
      </x:c>
      <x:c r="E23" t="n">
        <x:f>(Adimensional_A!B23-Reference_Stats!$B$2)/Reference_Stats!$C$2</x:f>
        <x:v>0.704673427868712</x:v>
      </x:c>
      <x:c r="F23" t="n">
        <x:f>(Adimensional_A!C23-Reference_Stats!$B$3)/Reference_Stats!$C$3</x:f>
        <x:v>-0.18165912740168916</x:v>
      </x:c>
      <x:c r="G23" t="n">
        <x:f>(Adimensional_A!D23-Reference_Stats!$B$4)/Reference_Stats!$C$4</x:f>
        <x:v>-1.0049603171240207</x:v>
      </x:c>
      <x:c r="H23" t="n">
        <x:f>Adimensional_A!E23</x:f>
        <x:v>9.375</x:v>
      </x:c>
      <x:c r="I23" t="n">
        <x:f>Adimensional_A!F23</x:f>
        <x:v>4.166666666666667</x:v>
      </x:c>
      <x:c r="J23" t="n">
        <x:f>Adimensional_A!G23</x:f>
        <x:v>43.75</x:v>
      </x:c>
      <x:c r="K23" t="n">
        <x:f>(Adimensional_A!E23-Reference_Stats!$B$5)/Reference_Stats!$C$5</x:f>
        <x:v>0.7858461768413916</x:v>
      </x:c>
      <x:c r="L23" t="n">
        <x:f>(Adimensional_A!F23-Reference_Stats!$B$6)/Reference_Stats!$C$6</x:f>
        <x:v>0.881728831417299</x:v>
      </x:c>
      <x:c r="M23" t="n">
        <x:f>(Adimensional_A!G23-Reference_Stats!$B$7)/Reference_Stats!$C$7</x:f>
        <x:v>1.3893390811097435</x:v>
      </x:c>
      <x:c r="N23" t="str">
        <x:f>Adimensional_A!I23</x:f>
        <x:v>γ≈1.00</x:v>
      </x:c>
      <x:c r="O23" t="str">
        <x:f>Adimensional_A!J23</x:f>
        <x:v>Train</x:v>
      </x:c>
    </x:row>
    <x:row r="24">
      <x:c r="A24" t="n">
        <x:f>Adimensional_A!A24</x:f>
        <x:v>22</x:v>
      </x:c>
      <x:c r="B24" t="n">
        <x:f>Adimensional_A!B24</x:f>
        <x:v>4.49</x:v>
      </x:c>
      <x:c r="C24" t="n">
        <x:f>Adimensional_A!C24</x:f>
        <x:v>0.9514308217379907</x:v>
      </x:c>
      <x:c r="D24" t="n">
        <x:f>Adimensional_A!D24</x:f>
        <x:v>1.001</x:v>
      </x:c>
      <x:c r="E24" t="n">
        <x:f>(Adimensional_A!B24-Reference_Stats!$B$2)/Reference_Stats!$C$2</x:f>
        <x:v>-0.8646656239196763</x:v>
      </x:c>
      <x:c r="F24" t="n">
        <x:f>(Adimensional_A!C24-Reference_Stats!$B$3)/Reference_Stats!$C$3</x:f>
        <x:v>-0.18165912740168916</x:v>
      </x:c>
      <x:c r="G24" t="n">
        <x:f>(Adimensional_A!D24-Reference_Stats!$B$4)/Reference_Stats!$C$4</x:f>
        <x:v>-1.0017146267470323</x:v>
      </x:c>
      <x:c r="H24" t="n">
        <x:f>Adimensional_A!E24</x:f>
        <x:v>5.708333333333333</x:v>
      </x:c>
      <x:c r="I24" t="n">
        <x:f>Adimensional_A!F24</x:f>
        <x:v>2.0833333333333335</x:v>
      </x:c>
      <x:c r="J24" t="n">
        <x:f>Adimensional_A!G24</x:f>
        <x:v>23.333333333333336</x:v>
      </x:c>
      <x:c r="K24" t="n">
        <x:f>(Adimensional_A!E24-Reference_Stats!$B$5)/Reference_Stats!$C$5</x:f>
        <x:v>-0.6968894681348399</x:v>
      </x:c>
      <x:c r="L24" t="n">
        <x:f>(Adimensional_A!F24-Reference_Stats!$B$6)/Reference_Stats!$C$6</x:f>
        <x:v>-0.7290350452990455</x:v>
      </x:c>
      <x:c r="M24" t="n">
        <x:f>(Adimensional_A!G24-Reference_Stats!$B$7)/Reference_Stats!$C$7</x:f>
        <x:v>-0.3295230202622641</x:v>
      </x:c>
      <x:c r="N24" t="str">
        <x:f>Adimensional_A!I24</x:f>
        <x:v>γ≈1.00</x:v>
      </x:c>
      <x:c r="O24" t="str">
        <x:f>Adimensional_A!J24</x:f>
        <x:v>Test</x:v>
      </x:c>
    </x:row>
    <x:row r="25">
      <x:c r="A25" t="n">
        <x:f>Adimensional_A!A25</x:f>
        <x:v>23</x:v>
      </x:c>
      <x:c r="B25" t="n">
        <x:f>Adimensional_A!B25</x:f>
        <x:v>8.51</x:v>
      </x:c>
      <x:c r="C25" t="n">
        <x:f>Adimensional_A!C25</x:f>
        <x:v>0.911787870832241</x:v>
      </x:c>
      <x:c r="D25" t="n">
        <x:f>Adimensional_A!D25</x:f>
        <x:v>1.002</x:v>
      </x:c>
      <x:c r="E25" t="n">
        <x:f>(Adimensional_A!B25-Reference_Stats!$B$2)/Reference_Stats!$C$2</x:f>
        <x:v>1.3965325797324097</x:v>
      </x:c>
      <x:c r="F25" t="n">
        <x:f>(Adimensional_A!C25-Reference_Stats!$B$3)/Reference_Stats!$C$3</x:f>
        <x:v>-0.32993225301063556</x:v>
      </x:c>
      <x:c r="G25" t="n">
        <x:f>(Adimensional_A!D25-Reference_Stats!$B$4)/Reference_Stats!$C$4</x:f>
        <x:v>-0.9984689363700434</x:v>
      </x:c>
      <x:c r="H25" t="n">
        <x:f>Adimensional_A!E25</x:f>
        <x:v>11.304347826086957</x:v>
      </x:c>
      <x:c r="I25" t="n">
        <x:f>Adimensional_A!F25</x:f>
        <x:v>5.6521739130434785</x:v>
      </x:c>
      <x:c r="J25" t="n">
        <x:f>Adimensional_A!G25</x:f>
        <x:v>52.173913043478265</x:v>
      </x:c>
      <x:c r="K25" t="n">
        <x:f>(Adimensional_A!E25-Reference_Stats!$B$5)/Reference_Stats!$C$5</x:f>
        <x:v>1.5660405750131736</x:v>
      </x:c>
      <x:c r="L25" t="n">
        <x:f>(Adimensional_A!F25-Reference_Stats!$B$6)/Reference_Stats!$C$6</x:f>
        <x:v>2.0302735087280834</x:v>
      </x:c>
      <x:c r="M25" t="n">
        <x:f>(Adimensional_A!G25-Reference_Stats!$B$7)/Reference_Stats!$C$7</x:f>
        <x:v>2.0985412791026308</x:v>
      </x:c>
      <x:c r="N25" t="str">
        <x:f>Adimensional_A!I25</x:f>
        <x:v>γ≈1.00</x:v>
      </x:c>
      <x:c r="O25" t="str">
        <x:f>Adimensional_A!J25</x:f>
        <x:v>Test</x:v>
      </x:c>
    </x:row>
    <x:row r="26">
      <x:c r="A26" t="n">
        <x:f>Adimensional_A!A26</x:f>
        <x:v>24</x:v>
      </x:c>
      <x:c r="B26" t="n">
        <x:f>Adimensional_A!B26</x:f>
        <x:v>3.83</x:v>
      </x:c>
      <x:c r="C26" t="n">
        <x:f>Adimensional_A!C26</x:f>
        <x:v>1.3478603307954866</x:v>
      </x:c>
      <x:c r="D26" t="n">
        <x:f>Adimensional_A!D26</x:f>
        <x:v>1.004</x:v>
      </x:c>
      <x:c r="E26" t="n">
        <x:f>(Adimensional_A!B26-Reference_Stats!$B$2)/Reference_Stats!$C$2</x:f>
        <x:v>-1.2359071200416607</x:v>
      </x:c>
      <x:c r="F26" t="n">
        <x:f>(Adimensional_A!C26-Reference_Stats!$B$3)/Reference_Stats!$C$3</x:f>
        <x:v>1.3010721286877727</x:v>
      </x:c>
      <x:c r="G26" t="n">
        <x:f>(Adimensional_A!D26-Reference_Stats!$B$4)/Reference_Stats!$C$4</x:f>
        <x:v>-0.991977555616066</x:v>
      </x:c>
      <x:c r="H26" t="n">
        <x:f>Adimensional_A!E26</x:f>
        <x:v>4.5588235294117645</x:v>
      </x:c>
      <x:c r="I26" t="n">
        <x:f>Adimensional_A!F26</x:f>
        <x:v>1.7647058823529411</x:v>
      </x:c>
      <x:c r="J26" t="n">
        <x:f>Adimensional_A!G26</x:f>
        <x:v>17.647058823529413</x:v>
      </x:c>
      <x:c r="K26" t="n">
        <x:f>(Adimensional_A!E26-Reference_Stats!$B$5)/Reference_Stats!$C$5</x:f>
        <x:v>-1.1617310573686983</x:v>
      </x:c>
      <x:c r="L26" t="n">
        <x:f>(Adimensional_A!F26-Reference_Stats!$B$6)/Reference_Stats!$C$6</x:f>
        <x:v>-0.9753871676203689</x:v>
      </x:c>
      <x:c r="M26" t="n">
        <x:f>(Adimensional_A!G26-Reference_Stats!$B$7)/Reference_Stats!$C$7</x:f>
        <x:v>-0.8082457183634717</x:v>
      </x:c>
      <x:c r="N26" t="str">
        <x:f>Adimensional_A!I26</x:f>
        <x:v>γ≈1.00</x:v>
      </x:c>
      <x:c r="O26" t="str">
        <x:f>Adimensional_A!J26</x:f>
        <x:v>Train</x:v>
      </x:c>
    </x:row>
    <x:row r="27">
      <x:c r="A27" t="n">
        <x:f>Adimensional_A!A27</x:f>
        <x:v>25</x:v>
      </x:c>
      <x:c r="B27" t="n">
        <x:f>Adimensional_A!B27</x:f>
        <x:v>6.95</x:v>
      </x:c>
      <x:c r="C27" t="n">
        <x:f>Adimensional_A!C27</x:f>
        <x:v>0.911787870832241</x:v>
      </x:c>
      <x:c r="D27" t="n">
        <x:f>Adimensional_A!D27</x:f>
        <x:v>1.004</x:v>
      </x:c>
      <x:c r="E27" t="n">
        <x:f>(Adimensional_A!B27-Reference_Stats!$B$2)/Reference_Stats!$C$2</x:f>
        <x:v>0.5190526798077197</x:v>
      </x:c>
      <x:c r="F27" t="n">
        <x:f>(Adimensional_A!C27-Reference_Stats!$B$3)/Reference_Stats!$C$3</x:f>
        <x:v>-0.32993225301063556</x:v>
      </x:c>
      <x:c r="G27" t="n">
        <x:f>(Adimensional_A!D27-Reference_Stats!$B$4)/Reference_Stats!$C$4</x:f>
        <x:v>-0.991977555616066</x:v>
      </x:c>
      <x:c r="H27" t="n">
        <x:f>Adimensional_A!E27</x:f>
        <x:v>9.434782608695652</x:v>
      </x:c>
      <x:c r="I27" t="n">
        <x:f>Adimensional_A!F27</x:f>
        <x:v>4.347826086956522</x:v>
      </x:c>
      <x:c r="J27" t="n">
        <x:f>Adimensional_A!G27</x:f>
        <x:v>41.30434782608696</x:v>
      </x:c>
      <x:c r="K27" t="n">
        <x:f>(Adimensional_A!E27-Reference_Stats!$B$5)/Reference_Stats!$C$5</x:f>
        <x:v>0.8100212145312216</x:v>
      </x:c>
      <x:c r="L27" t="n">
        <x:f>(Adimensional_A!F27-Reference_Stats!$B$6)/Reference_Stats!$C$6</x:f>
        <x:v>1.0217952554795902</x:v>
      </x:c>
      <x:c r="M27" t="n">
        <x:f>(Adimensional_A!G27-Reference_Stats!$B$7)/Reference_Stats!$C$7</x:f>
        <x:v>1.1834416687892282</x:v>
      </x:c>
      <x:c r="N27" t="str">
        <x:f>Adimensional_A!I27</x:f>
        <x:v>γ≈1.00</x:v>
      </x:c>
      <x:c r="O27" t="str">
        <x:f>Adimensional_A!J27</x:f>
        <x:v>Train</x:v>
      </x:c>
    </x:row>
    <x:row r="28">
      <x:c r="A28" t="n">
        <x:f>Adimensional_A!A28</x:f>
        <x:v>26</x:v>
      </x:c>
      <x:c r="B28" t="n">
        <x:f>Adimensional_A!B28</x:f>
        <x:v>4.58</x:v>
      </x:c>
      <x:c r="C28" t="n">
        <x:f>Adimensional_A!C28</x:f>
        <x:v>1.3478603307954866</x:v>
      </x:c>
      <x:c r="D28" t="n">
        <x:f>Adimensional_A!D28</x:f>
        <x:v>1.005</x:v>
      </x:c>
      <x:c r="E28" t="n">
        <x:f>(Adimensional_A!B28-Reference_Stats!$B$2)/Reference_Stats!$C$2</x:f>
        <x:v>-0.8140417835394057</x:v>
      </x:c>
      <x:c r="F28" t="n">
        <x:f>(Adimensional_A!C28-Reference_Stats!$B$3)/Reference_Stats!$C$3</x:f>
        <x:v>1.3010721286877727</x:v>
      </x:c>
      <x:c r="G28" t="n">
        <x:f>(Adimensional_A!D28-Reference_Stats!$B$4)/Reference_Stats!$C$4</x:f>
        <x:v>-0.9887318652390777</x:v>
      </x:c>
      <x:c r="H28" t="n">
        <x:f>Adimensional_A!E28</x:f>
        <x:v>5.4411764705882355</x:v>
      </x:c>
      <x:c r="I28" t="n">
        <x:f>Adimensional_A!F28</x:f>
        <x:v>2.3529411764705883</x:v>
      </x:c>
      <x:c r="J28" t="n">
        <x:f>Adimensional_A!G28</x:f>
        <x:v>22.941176470588236</x:v>
      </x:c>
      <x:c r="K28" t="n">
        <x:f>(Adimensional_A!E28-Reference_Stats!$B$5)/Reference_Stats!$C$5</x:f>
        <x:v>-0.8049230144599795</x:v>
      </x:c>
      <x:c r="L28" t="n">
        <x:f>(Adimensional_A!F28-Reference_Stats!$B$6)/Reference_Stats!$C$6</x:f>
        <x:v>-0.520583249488695</x:v>
      </x:c>
      <x:c r="M28" t="n">
        <x:f>(Adimensional_A!G28-Reference_Stats!$B$7)/Reference_Stats!$C$7</x:f>
        <x:v>-0.36253837875200273</x:v>
      </x:c>
      <x:c r="N28" t="str">
        <x:f>Adimensional_A!I28</x:f>
        <x:v>γ≈1.00</x:v>
      </x:c>
      <x:c r="O28" t="str">
        <x:f>Adimensional_A!J28</x:f>
        <x:v>Train</x:v>
      </x:c>
    </x:row>
    <x:row r="29">
      <x:c r="A29" t="n">
        <x:f>Adimensional_A!A29</x:f>
        <x:v>27</x:v>
      </x:c>
      <x:c r="B29" t="n">
        <x:f>Adimensional_A!B29</x:f>
        <x:v>2.8</x:v>
      </x:c>
      <x:c r="C29" t="n">
        <x:f>Adimensional_A!C29</x:f>
        <x:v>1.110002625360989</x:v>
      </x:c>
      <x:c r="D29" t="n">
        <x:f>Adimensional_A!D29</x:f>
        <x:v>1.009</x:v>
      </x:c>
      <x:c r="E29" t="n">
        <x:f>(Adimensional_A!B29-Reference_Stats!$B$2)/Reference_Stats!$C$2</x:f>
        <x:v>-1.8152688488380908</x:v>
      </x:c>
      <x:c r="F29" t="n">
        <x:f>(Adimensional_A!C29-Reference_Stats!$B$3)/Reference_Stats!$C$3</x:f>
        <x:v>0.41143337503409516</x:v>
      </x:c>
      <x:c r="G29" t="n">
        <x:f>(Adimensional_A!D29-Reference_Stats!$B$4)/Reference_Stats!$C$4</x:f>
        <x:v>-0.9757491037311231</x:v>
      </x:c>
      <x:c r="H29" t="n">
        <x:f>Adimensional_A!E29</x:f>
        <x:v>3.3571428571428577</x:v>
      </x:c>
      <x:c r="I29" t="n">
        <x:f>Adimensional_A!F29</x:f>
        <x:v>1.0714285714285714</x:v>
      </x:c>
      <x:c r="J29" t="n">
        <x:f>Adimensional_A!G29</x:f>
        <x:v>10.178571428571429</x:v>
      </x:c>
      <x:c r="K29" t="n">
        <x:f>(Adimensional_A!E29-Reference_Stats!$B$5)/Reference_Stats!$C$5</x:f>
        <x:v>-1.6476696300920008</x:v>
      </x:c>
      <x:c r="L29" t="n">
        <x:f>(Adimensional_A!F29-Reference_Stats!$B$6)/Reference_Stats!$C$6</x:f>
        <x:v>-1.5114060711326986</x:v>
      </x:c>
      <x:c r="M29" t="n">
        <x:f>(Adimensional_A!G29-Reference_Stats!$B$7)/Reference_Stats!$C$7</x:f>
        <x:v>-1.4370114296010796</x:v>
      </x:c>
      <x:c r="N29" t="str">
        <x:f>Adimensional_A!I29</x:f>
        <x:v>γ≈1.00</x:v>
      </x:c>
      <x:c r="O29" t="str">
        <x:f>Adimensional_A!J29</x:f>
        <x:v>Train</x:v>
      </x:c>
    </x:row>
    <x:row r="30">
      <x:c r="A30" t="n">
        <x:f>Adimensional_A!A30</x:f>
        <x:v>28</x:v>
      </x:c>
      <x:c r="B30" t="n">
        <x:f>Adimensional_A!B30</x:f>
        <x:v>3.35</x:v>
      </x:c>
      <x:c r="C30" t="n">
        <x:f>Adimensional_A!C30</x:f>
        <x:v>1.7839327907587326</x:v>
      </x:c>
      <x:c r="D30" t="n">
        <x:f>Adimensional_A!D30</x:f>
        <x:v>1.013</x:v>
      </x:c>
      <x:c r="E30" t="n">
        <x:f>(Adimensional_A!B30-Reference_Stats!$B$2)/Reference_Stats!$C$2</x:f>
        <x:v>-1.5059009354031039</x:v>
      </x:c>
      <x:c r="F30" t="n">
        <x:f>(Adimensional_A!C30-Reference_Stats!$B$3)/Reference_Stats!$C$3</x:f>
        <x:v>2.932076510386182</x:v>
      </x:c>
      <x:c r="G30" t="n">
        <x:f>(Adimensional_A!D30-Reference_Stats!$B$4)/Reference_Stats!$C$4</x:f>
        <x:v>-0.9627663422231685</x:v>
      </x:c>
      <x:c r="H30" t="n">
        <x:f>Adimensional_A!E30</x:f>
        <x:v>3.8666666666666663</x:v>
      </x:c>
      <x:c r="I30" t="n">
        <x:f>Adimensional_A!F30</x:f>
        <x:v>1.3333333333333333</x:v>
      </x:c>
      <x:c r="J30" t="n">
        <x:f>Adimensional_A!G30</x:f>
        <x:v>14</x:v>
      </x:c>
      <x:c r="K30" t="n">
        <x:f>(Adimensional_A!E30-Reference_Stats!$B$5)/Reference_Stats!$C$5</x:f>
        <x:v>-1.4416271443615378</x:v>
      </x:c>
      <x:c r="L30" t="n">
        <x:f>(Adimensional_A!F30-Reference_Stats!$B$6)/Reference_Stats!$C$6</x:f>
        <x:v>-1.3089100409169296</x:v>
      </x:c>
      <x:c r="M30" t="n">
        <x:f>(Adimensional_A!G30-Reference_Stats!$B$7)/Reference_Stats!$C$7</x:f>
        <x:v>-1.1152885523180394</x:v>
      </x:c>
      <x:c r="N30" t="str">
        <x:f>Adimensional_A!I30</x:f>
        <x:v>γ≈1.00</x:v>
      </x:c>
      <x:c r="O30" t="str">
        <x:f>Adimensional_A!J30</x:f>
        <x:v>Test</x:v>
      </x:c>
    </x:row>
    <x:row r="31">
      <x:c r="A31" t="n">
        <x:f>Adimensional_A!A31</x:f>
        <x:v>29</x:v>
      </x:c>
      <x:c r="B31" t="n">
        <x:f>Adimensional_A!B31</x:f>
        <x:v>6.21</x:v>
      </x:c>
      <x:c r="C31" t="n">
        <x:f>Adimensional_A!C31</x:f>
        <x:v>1.1892885271724882</x:v>
      </x:c>
      <x:c r="D31" t="n">
        <x:f>Adimensional_A!D31</x:f>
        <x:v>1.019</x:v>
      </x:c>
      <x:c r="E31" t="n">
        <x:f>(Adimensional_A!B31-Reference_Stats!$B$2)/Reference_Stats!$C$2</x:f>
        <x:v>0.10281221445882816</x:v>
      </x:c>
      <x:c r="F31" t="n">
        <x:f>(Adimensional_A!C31-Reference_Stats!$B$3)/Reference_Stats!$C$3</x:f>
        <x:v>0.707979626251988</x:v>
      </x:c>
      <x:c r="G31" t="n">
        <x:f>(Adimensional_A!D31-Reference_Stats!$B$4)/Reference_Stats!$C$4</x:f>
        <x:v>-0.9432921999612366</x:v>
      </x:c>
      <x:c r="H31" t="n">
        <x:f>Adimensional_A!E31</x:f>
        <x:v>7.6000000000000005</x:v>
      </x:c>
      <x:c r="I31" t="n">
        <x:f>Adimensional_A!F31</x:f>
        <x:v>3.3333333333333335</x:v>
      </x:c>
      <x:c r="J31" t="n">
        <x:f>Adimensional_A!G31</x:f>
        <x:v>33.333333333333336</x:v>
      </x:c>
      <x:c r="K31" t="n">
        <x:f>(Adimensional_A!E31-Reference_Stats!$B$5)/Reference_Stats!$C$5</x:f>
        <x:v>0.06806733052335258</x:v>
      </x:c>
      <x:c r="L31" t="n">
        <x:f>(Adimensional_A!F31-Reference_Stats!$B$6)/Reference_Stats!$C$6</x:f>
        <x:v>0.23742328073076113</x:v>
      </x:c>
      <x:c r="M31" t="n">
        <x:f>(Adimensional_A!G31-Reference_Stats!$B$7)/Reference_Stats!$C$7</x:f>
        <x:v>0.5123686212260662</x:v>
      </x:c>
      <x:c r="N31" t="str">
        <x:f>Adimensional_A!I31</x:f>
        <x:v>γ≈1.00</x:v>
      </x:c>
      <x:c r="O31" t="str">
        <x:f>Adimensional_A!J31</x:f>
        <x:v>Train</x:v>
      </x:c>
    </x:row>
    <x:row r="32">
      <x:c r="A32" t="n">
        <x:f>Adimensional_A!A32</x:f>
        <x:v>30</x:v>
      </x:c>
      <x:c r="B32" t="n">
        <x:f>Adimensional_A!B32</x:f>
        <x:v>3.22</x:v>
      </x:c>
      <x:c r="C32" t="n">
        <x:f>Adimensional_A!C32</x:f>
        <x:v>1.110002625360989</x:v>
      </x:c>
      <x:c r="D32" t="n">
        <x:f>Adimensional_A!D32</x:f>
        <x:v>1.022</x:v>
      </x:c>
      <x:c r="E32" t="n">
        <x:f>(Adimensional_A!B32-Reference_Stats!$B$2)/Reference_Stats!$C$2</x:f>
        <x:v>-1.5790242603968279</x:v>
      </x:c>
      <x:c r="F32" t="n">
        <x:f>(Adimensional_A!C32-Reference_Stats!$B$3)/Reference_Stats!$C$3</x:f>
        <x:v>0.41143337503409516</x:v>
      </x:c>
      <x:c r="G32" t="n">
        <x:f>(Adimensional_A!D32-Reference_Stats!$B$4)/Reference_Stats!$C$4</x:f>
        <x:v>-0.9335551288302703</x:v>
      </x:c>
      <x:c r="H32" t="n">
        <x:f>Adimensional_A!E32</x:f>
        <x:v>4.0357142857142865</x:v>
      </x:c>
      <x:c r="I32" t="n">
        <x:f>Adimensional_A!F32</x:f>
        <x:v>1.4285714285714286</x:v>
      </x:c>
      <x:c r="J32" t="n">
        <x:f>Adimensional_A!G32</x:f>
        <x:v>13.214285714285715</x:v>
      </x:c>
      <x:c r="K32" t="n">
        <x:f>(Adimensional_A!E32-Reference_Stats!$B$5)/Reference_Stats!$C$5</x:f>
        <x:v>-1.3732672542360098</x:v>
      </x:c>
      <x:c r="L32" t="n">
        <x:f>(Adimensional_A!F32-Reference_Stats!$B$6)/Reference_Stats!$C$6</x:f>
        <x:v>-1.235275120838468</x:v>
      </x:c>
      <x:c r="M32" t="n">
        <x:f>(Adimensional_A!G32-Reference_Stats!$B$7)/Reference_Stats!$C$7</x:f>
        <x:v>-1.1814371812921223</x:v>
      </x:c>
      <x:c r="N32" t="str">
        <x:f>Adimensional_A!I32</x:f>
        <x:v>γ≈1.00</x:v>
      </x:c>
      <x:c r="O32" t="str">
        <x:f>Adimensional_A!J32</x:f>
        <x:v>Train</x:v>
      </x:c>
    </x:row>
    <x:row r="33">
      <x:c r="A33" t="n">
        <x:f>Adimensional_A!A33</x:f>
        <x:v>31</x:v>
      </x:c>
      <x:c r="B33" t="n">
        <x:f>Adimensional_A!B33</x:f>
        <x:v>4.2</x:v>
      </x:c>
      <x:c r="C33" t="n">
        <x:f>Adimensional_A!C33</x:f>
        <x:v>0.6342872144919938</x:v>
      </x:c>
      <x:c r="D33" t="n">
        <x:f>Adimensional_A!D33</x:f>
        <x:v>1.025</x:v>
      </x:c>
      <x:c r="E33" t="n">
        <x:f>(Adimensional_A!B33-Reference_Stats!$B$2)/Reference_Stats!$C$2</x:f>
        <x:v>-1.027786887367215</x:v>
      </x:c>
      <x:c r="F33" t="n">
        <x:f>(Adimensional_A!C33-Reference_Stats!$B$3)/Reference_Stats!$C$3</x:f>
        <x:v>-1.367844132273259</x:v>
      </x:c>
      <x:c r="G33" t="n">
        <x:f>(Adimensional_A!D33-Reference_Stats!$B$4)/Reference_Stats!$C$4</x:f>
        <x:v>-0.9238180576993047</x:v>
      </x:c>
      <x:c r="H33" t="n">
        <x:f>Adimensional_A!E33</x:f>
        <x:v>5.062499999999999</x:v>
      </x:c>
      <x:c r="I33" t="n">
        <x:f>Adimensional_A!F33</x:f>
        <x:v>1.875</x:v>
      </x:c>
      <x:c r="J33" t="n">
        <x:f>Adimensional_A!G33</x:f>
        <x:v>20.625</x:v>
      </x:c>
      <x:c r="K33" t="n">
        <x:f>(Adimensional_A!E33-Reference_Stats!$B$5)/Reference_Stats!$C$5</x:f>
        <x:v>-0.9580531328749717</x:v>
      </x:c>
      <x:c r="L33" t="n">
        <x:f>(Adimensional_A!F33-Reference_Stats!$B$6)/Reference_Stats!$C$6</x:f>
        <x:v>-0.8901114329706801</x:v>
      </x:c>
      <x:c r="M33" t="n">
        <x:f>(Adimensional_A!G33-Reference_Stats!$B$7)/Reference_Stats!$C$7</x:f>
        <x:v>-0.5575353398320204</x:v>
      </x:c>
      <x:c r="N33" t="str">
        <x:f>Adimensional_A!I33</x:f>
        <x:v>γ≈1.00</x:v>
      </x:c>
      <x:c r="O33" t="str">
        <x:f>Adimensional_A!J33</x:f>
        <x:v>Train</x:v>
      </x:c>
    </x:row>
    <x:row r="34">
      <x:c r="A34" t="n">
        <x:f>Adimensional_A!A34</x:f>
        <x:v>32</x:v>
      </x:c>
      <x:c r="B34" t="n">
        <x:f>Adimensional_A!B34</x:f>
        <x:v>7.63</x:v>
      </x:c>
      <x:c r="C34" t="n">
        <x:f>Adimensional_A!C34</x:f>
        <x:v>0.6342872144919938</x:v>
      </x:c>
      <x:c r="D34" t="n">
        <x:f>Adimensional_A!D34</x:f>
        <x:v>1.028</x:v>
      </x:c>
      <x:c r="E34" t="n">
        <x:f>(Adimensional_A!B34-Reference_Stats!$B$2)/Reference_Stats!$C$2</x:f>
        <x:v>0.9015439182364308</x:v>
      </x:c>
      <x:c r="F34" t="n">
        <x:f>(Adimensional_A!C34-Reference_Stats!$B$3)/Reference_Stats!$C$3</x:f>
        <x:v>-1.367844132273259</x:v>
      </x:c>
      <x:c r="G34" t="n">
        <x:f>(Adimensional_A!D34-Reference_Stats!$B$4)/Reference_Stats!$C$4</x:f>
        <x:v>-0.9140809865683384</x:v>
      </x:c>
      <x:c r="H34" t="n">
        <x:f>Adimensional_A!E34</x:f>
        <x:v>9.812499999999998</x:v>
      </x:c>
      <x:c r="I34" t="n">
        <x:f>Adimensional_A!F34</x:f>
        <x:v>4.375</x:v>
      </x:c>
      <x:c r="J34" t="n">
        <x:f>Adimensional_A!G34</x:f>
        <x:v>45</x:v>
      </x:c>
      <x:c r="K34" t="n">
        <x:f>(Adimensional_A!E34-Reference_Stats!$B$5)/Reference_Stats!$C$5</x:f>
        <x:v>0.9627634981169639</x:v>
      </x:c>
      <x:c r="L34" t="n">
        <x:f>(Adimensional_A!F34-Reference_Stats!$B$6)/Reference_Stats!$C$6</x:f>
        <x:v>1.0428052190889332</x:v>
      </x:c>
      <x:c r="M34" t="n">
        <x:f>(Adimensional_A!G34-Reference_Stats!$B$7)/Reference_Stats!$C$7</x:f>
        <x:v>1.4945755362957847</x:v>
      </x:c>
      <x:c r="N34" t="str">
        <x:f>Adimensional_A!I34</x:f>
        <x:v>γ≈1.00</x:v>
      </x:c>
      <x:c r="O34" t="str">
        <x:f>Adimensional_A!J34</x:f>
        <x:v>Train</x:v>
      </x:c>
    </x:row>
    <x:row r="35">
      <x:c r="A35" t="n">
        <x:f>Adimensional_A!A35</x:f>
        <x:v>33</x:v>
      </x:c>
      <x:c r="B35" t="n">
        <x:f>Adimensional_A!B35</x:f>
        <x:v>5.67</x:v>
      </x:c>
      <x:c r="C35" t="n">
        <x:f>Adimensional_A!C35</x:f>
        <x:v>0.9514308217379907</x:v>
      </x:c>
      <x:c r="D35" t="n">
        <x:f>Adimensional_A!D35</x:f>
        <x:v>1.044</x:v>
      </x:c>
      <x:c r="E35" t="n">
        <x:f>(Adimensional_A!B35-Reference_Stats!$B$2)/Reference_Stats!$C$2</x:f>
        <x:v>-0.2009308278227954</x:v>
      </x:c>
      <x:c r="F35" t="n">
        <x:f>(Adimensional_A!C35-Reference_Stats!$B$3)/Reference_Stats!$C$3</x:f>
        <x:v>-0.18165912740168916</x:v>
      </x:c>
      <x:c r="G35" t="n">
        <x:f>(Adimensional_A!D35-Reference_Stats!$B$4)/Reference_Stats!$C$4</x:f>
        <x:v>-0.8621499405365199</x:v>
      </x:c>
      <x:c r="H35" t="n">
        <x:f>Adimensional_A!E35</x:f>
        <x:v>7.083333333333334</x:v>
      </x:c>
      <x:c r="I35" t="n">
        <x:f>Adimensional_A!F35</x:f>
        <x:v>2.916666666666667</x:v>
      </x:c>
      <x:c r="J35" t="n">
        <x:f>Adimensional_A!G35</x:f>
        <x:v>30.833333333333336</x:v>
      </x:c>
      <x:c r="K35" t="n">
        <x:f>(Adimensional_A!E35-Reference_Stats!$B$5)/Reference_Stats!$C$5</x:f>
        <x:v>-0.14086360126875272</x:v>
      </x:c>
      <x:c r="L35" t="n">
        <x:f>(Adimensional_A!F35-Reference_Stats!$B$6)/Reference_Stats!$C$6</x:f>
        <x:v>-0.08472949461250763</x:v>
      </x:c>
      <x:c r="M35" t="n">
        <x:f>(Adimensional_A!G35-Reference_Stats!$B$7)/Reference_Stats!$C$7</x:f>
        <x:v>0.30189571085398365</x:v>
      </x:c>
      <x:c r="N35" t="str">
        <x:f>Adimensional_A!I35</x:f>
        <x:v>γ≈1.00</x:v>
      </x:c>
      <x:c r="O35" t="str">
        <x:f>Adimensional_A!J35</x:f>
        <x:v>Test</x:v>
      </x:c>
    </x:row>
    <x:row r="36">
      <x:c r="A36" t="n">
        <x:f>Adimensional_A!A36</x:f>
        <x:v>34</x:v>
      </x:c>
      <x:c r="B36" t="n">
        <x:f>Adimensional_A!B36</x:f>
        <x:v>5.27</x:v>
      </x:c>
      <x:c r="C36" t="n">
        <x:f>Adimensional_A!C36</x:f>
        <x:v>1.2685744289839875</x:v>
      </x:c>
      <x:c r="D36" t="n">
        <x:f>Adimensional_A!D36</x:f>
        <x:v>1.049</x:v>
      </x:c>
      <x:c r="E36" t="n">
        <x:f>(Adimensional_A!B36-Reference_Stats!$B$2)/Reference_Stats!$C$2</x:f>
        <x:v>-0.42592567395733155</x:v>
      </x:c>
      <x:c r="F36" t="n">
        <x:f>(Adimensional_A!C36-Reference_Stats!$B$3)/Reference_Stats!$C$3</x:f>
        <x:v>1.0045258774698806</x:v>
      </x:c>
      <x:c r="G36" t="n">
        <x:f>(Adimensional_A!D36-Reference_Stats!$B$4)/Reference_Stats!$C$4</x:f>
        <x:v>-0.845921488651577</x:v>
      </x:c>
      <x:c r="H36" t="n">
        <x:f>Adimensional_A!E36</x:f>
        <x:v>6.4375</x:v>
      </x:c>
      <x:c r="I36" t="n">
        <x:f>Adimensional_A!F36</x:f>
        <x:v>2.8125</x:v>
      </x:c>
      <x:c r="J36" t="n">
        <x:f>Adimensional_A!G36</x:f>
        <x:v>26.5625</x:v>
      </x:c>
      <x:c r="K36" t="n">
        <x:f>(Adimensional_A!E36-Reference_Stats!$B$5)/Reference_Stats!$C$5</x:f>
        <x:v>-0.4020272660088846</x:v>
      </x:c>
      <x:c r="L36" t="n">
        <x:f>(Adimensional_A!F36-Reference_Stats!$B$6)/Reference_Stats!$C$6</x:f>
        <x:v>-0.16526768844832507</x:v>
      </x:c>
      <x:c r="M36" t="n">
        <x:f>(Adimensional_A!G36-Reference_Stats!$B$7)/Reference_Stats!$C$7</x:f>
        <x:v>-0.05766217769832432</x:v>
      </x:c>
      <x:c r="N36" t="str">
        <x:f>Adimensional_A!I36</x:f>
        <x:v>γ≈1.00</x:v>
      </x:c>
      <x:c r="O36" t="str">
        <x:f>Adimensional_A!J36</x:f>
        <x:v>Train</x:v>
      </x:c>
    </x:row>
    <x:row r="37">
      <x:c r="A37" t="n">
        <x:f>Adimensional_A!A37</x:f>
        <x:v>35</x:v>
      </x:c>
      <x:c r="B37" t="n">
        <x:f>Adimensional_A!B37</x:f>
        <x:v>6.85</x:v>
      </x:c>
      <x:c r="C37" t="n">
        <x:f>Adimensional_A!C37</x:f>
        <x:v>0.6342872144919938</x:v>
      </x:c>
      <x:c r="D37" t="n">
        <x:f>Adimensional_A!D37</x:f>
        <x:v>1.053</x:v>
      </x:c>
      <x:c r="E37" t="n">
        <x:f>(Adimensional_A!B37-Reference_Stats!$B$2)/Reference_Stats!$C$2</x:f>
        <x:v>0.4628039682740855</x:v>
      </x:c>
      <x:c r="F37" t="n">
        <x:f>(Adimensional_A!C37-Reference_Stats!$B$3)/Reference_Stats!$C$3</x:f>
        <x:v>-1.367844132273259</x:v>
      </x:c>
      <x:c r="G37" t="n">
        <x:f>(Adimensional_A!D37-Reference_Stats!$B$4)/Reference_Stats!$C$4</x:f>
        <x:v>-0.8329387271436224</x:v>
      </x:c>
      <x:c r="H37" t="n">
        <x:f>Adimensional_A!E37</x:f>
        <x:v>8.5</x:v>
      </x:c>
      <x:c r="I37" t="n">
        <x:f>Adimensional_A!F37</x:f>
        <x:v>3.75</x:v>
      </x:c>
      <x:c r="J37" t="n">
        <x:f>Adimensional_A!G37</x:f>
        <x:v>38.75</x:v>
      </x:c>
      <x:c r="K37" t="n">
        <x:f>(Adimensional_A!E37-Reference_Stats!$B$5)/Reference_Stats!$C$5</x:f>
        <x:v>0.4320115342902455</x:v>
      </x:c>
      <x:c r="L37" t="n">
        <x:f>(Adimensional_A!F37-Reference_Stats!$B$6)/Reference_Stats!$C$6</x:f>
        <x:v>0.5595760560740299</x:v>
      </x:c>
      <x:c r="M37" t="n">
        <x:f>(Adimensional_A!G37-Reference_Stats!$B$7)/Reference_Stats!$C$7</x:f>
        <x:v>0.9683932603655783</x:v>
      </x:c>
      <x:c r="N37" t="str">
        <x:f>Adimensional_A!I37</x:f>
        <x:v>γ≈1.00</x:v>
      </x:c>
      <x:c r="O37" t="str">
        <x:f>Adimensional_A!J37</x:f>
        <x:v>Test</x:v>
      </x:c>
    </x:row>
    <x:row r="38">
      <x:c r="A38" t="n">
        <x:f>Adimensional_A!A38</x:f>
        <x:v>36</x:v>
      </x:c>
      <x:c r="B38" t="n">
        <x:f>Adimensional_A!B38</x:f>
        <x:v>5.35</x:v>
      </x:c>
      <x:c r="C38" t="n">
        <x:f>Adimensional_A!C38</x:f>
        <x:v>0.911787870832241</x:v>
      </x:c>
      <x:c r="D38" t="n">
        <x:f>Adimensional_A!D38</x:f>
        <x:v>1.056</x:v>
      </x:c>
      <x:c r="E38" t="n">
        <x:f>(Adimensional_A!B38-Reference_Stats!$B$2)/Reference_Stats!$C$2</x:f>
        <x:v>-0.3809267047304243</x:v>
      </x:c>
      <x:c r="F38" t="n">
        <x:f>(Adimensional_A!C38-Reference_Stats!$B$3)/Reference_Stats!$C$3</x:f>
        <x:v>-0.32993225301063556</x:v>
      </x:c>
      <x:c r="G38" t="n">
        <x:f>(Adimensional_A!D38-Reference_Stats!$B$4)/Reference_Stats!$C$4</x:f>
        <x:v>-0.823201656012656</x:v>
      </x:c>
      <x:c r="H38" t="n">
        <x:f>Adimensional_A!E38</x:f>
        <x:v>8.043478260869566</x:v>
      </x:c>
      <x:c r="I38" t="n">
        <x:f>Adimensional_A!F38</x:f>
        <x:v>3.4782608695652177</x:v>
      </x:c>
      <x:c r="J38" t="n">
        <x:f>Adimensional_A!G38</x:f>
        <x:v>28.260869565217394</x:v>
      </x:c>
      <x:c r="K38" t="n">
        <x:f>(Adimensional_A!E38-Reference_Stats!$B$5)/Reference_Stats!$C$5</x:f>
        <x:v>0.24740215556790884</x:v>
      </x:c>
      <x:c r="L38" t="n">
        <x:f>(Adimensional_A!F38-Reference_Stats!$B$6)/Reference_Stats!$C$6</x:f>
        <x:v>0.3494764199805939</x:v>
      </x:c>
      <x:c r="M38" t="n">
        <x:f>(Adimensional_A!G38-Reference_Stats!$B$7)/Reference_Stats!$C$7</x:f>
        <x:v>0.08532213641314508</x:v>
      </x:c>
      <x:c r="N38" t="str">
        <x:f>Adimensional_A!I38</x:f>
        <x:v>γ≈1.00</x:v>
      </x:c>
      <x:c r="O38" t="str">
        <x:f>Adimensional_A!J38</x:f>
        <x:v>Train</x:v>
      </x:c>
    </x:row>
    <x:row r="39">
      <x:c r="A39" t="n">
        <x:f>Adimensional_A!A39</x:f>
        <x:v>37</x:v>
      </x:c>
      <x:c r="B39" t="n">
        <x:f>Adimensional_A!B39</x:f>
        <x:v>8.28</x:v>
      </x:c>
      <x:c r="C39" t="n">
        <x:f>Adimensional_A!C39</x:f>
        <x:v>0.911787870832241</x:v>
      </x:c>
      <x:c r="D39" t="n">
        <x:f>Adimensional_A!D39</x:f>
        <x:v>1.061</x:v>
      </x:c>
      <x:c r="E39" t="n">
        <x:f>(Adimensional_A!B39-Reference_Stats!$B$2)/Reference_Stats!$C$2</x:f>
        <x:v>1.2671605432050512</x:v>
      </x:c>
      <x:c r="F39" t="n">
        <x:f>(Adimensional_A!C39-Reference_Stats!$B$3)/Reference_Stats!$C$3</x:f>
        <x:v>-0.32993225301063556</x:v>
      </x:c>
      <x:c r="G39" t="n">
        <x:f>(Adimensional_A!D39-Reference_Stats!$B$4)/Reference_Stats!$C$4</x:f>
        <x:v>-0.8069732041277131</x:v>
      </x:c>
      <x:c r="H39" t="n">
        <x:f>Adimensional_A!E39</x:f>
        <x:v>11.08695652173913</x:v>
      </x:c>
      <x:c r="I39" t="n">
        <x:f>Adimensional_A!F39</x:f>
        <x:v>5.217391304347826</x:v>
      </x:c>
      <x:c r="J39" t="n">
        <x:f>Adimensional_A!G39</x:f>
        <x:v>47.82608695652174</x:v>
      </x:c>
      <x:c r="K39" t="n">
        <x:f>(Adimensional_A!E39-Reference_Stats!$B$5)/Reference_Stats!$C$5</x:f>
        <x:v>1.4781313470501558</x:v>
      </x:c>
      <x:c r="L39" t="n">
        <x:f>(Adimensional_A!F39-Reference_Stats!$B$6)/Reference_Stats!$C$6</x:f>
        <x:v>1.6941140909785855</x:v>
      </x:c>
      <x:c r="M39" t="n">
        <x:f>(Adimensional_A!G39-Reference_Stats!$B$7)/Reference_Stats!$C$7</x:f>
        <x:v>1.7325014349772696</x:v>
      </x:c>
      <x:c r="N39" t="str">
        <x:f>Adimensional_A!I39</x:f>
        <x:v>γ≈1.00</x:v>
      </x:c>
      <x:c r="O39" t="str">
        <x:f>Adimensional_A!J39</x:f>
        <x:v>Train</x:v>
      </x:c>
    </x:row>
    <x:row r="40">
      <x:c r="A40" t="n">
        <x:f>Adimensional_A!A40</x:f>
        <x:v>38</x:v>
      </x:c>
      <x:c r="B40" t="n">
        <x:f>Adimensional_A!B40</x:f>
        <x:v>9.33</x:v>
      </x:c>
      <x:c r="C40" t="n">
        <x:f>Adimensional_A!C40</x:f>
        <x:v>0.911787870832241</x:v>
      </x:c>
      <x:c r="D40" t="n">
        <x:f>Adimensional_A!D40</x:f>
        <x:v>1.061</x:v>
      </x:c>
      <x:c r="E40" t="n">
        <x:f>(Adimensional_A!B40-Reference_Stats!$B$2)/Reference_Stats!$C$2</x:f>
        <x:v>1.8577720143082086</x:v>
      </x:c>
      <x:c r="F40" t="n">
        <x:f>(Adimensional_A!C40-Reference_Stats!$B$3)/Reference_Stats!$C$3</x:f>
        <x:v>-0.32993225301063556</x:v>
      </x:c>
      <x:c r="G40" t="n">
        <x:f>(Adimensional_A!D40-Reference_Stats!$B$4)/Reference_Stats!$C$4</x:f>
        <x:v>-0.8069732041277131</x:v>
      </x:c>
      <x:c r="H40" t="n">
        <x:f>Adimensional_A!E40</x:f>
        <x:v>11.91304347826087</x:v>
      </x:c>
      <x:c r="I40" t="n">
        <x:f>Adimensional_A!F40</x:f>
        <x:v>6.086956521739131</x:v>
      </x:c>
      <x:c r="J40" t="n">
        <x:f>Adimensional_A!G40</x:f>
        <x:v>54.34782608695652</x:v>
      </x:c>
      <x:c r="K40" t="n">
        <x:f>(Adimensional_A!E40-Reference_Stats!$B$5)/Reference_Stats!$C$5</x:f>
        <x:v>1.8121864133096228</x:v>
      </x:c>
      <x:c r="L40" t="n">
        <x:f>(Adimensional_A!F40-Reference_Stats!$B$6)/Reference_Stats!$C$6</x:f>
        <x:v>2.366432926477582</x:v>
      </x:c>
      <x:c r="M40" t="n">
        <x:f>(Adimensional_A!G40-Reference_Stats!$B$7)/Reference_Stats!$C$7</x:f>
        <x:v>2.281561201165311</x:v>
      </x:c>
      <x:c r="N40" t="str">
        <x:f>Adimensional_A!I40</x:f>
        <x:v>γ≈1.00</x:v>
      </x:c>
      <x:c r="O40" t="str">
        <x:f>Adimensional_A!J40</x:f>
        <x:v>Train</x:v>
      </x:c>
    </x:row>
    <x:row r="41">
      <x:c r="A41" t="n">
        <x:f>Adimensional_A!A41</x:f>
        <x:v>39</x:v>
      </x:c>
      <x:c r="B41" t="n">
        <x:f>Adimensional_A!B41</x:f>
        <x:v>3.71</x:v>
      </x:c>
      <x:c r="C41" t="n">
        <x:f>Adimensional_A!C41</x:f>
        <x:v>1.0703596744552395</x:v>
      </x:c>
      <x:c r="D41" t="n">
        <x:f>Adimensional_A!D41</x:f>
        <x:v>1.062</x:v>
      </x:c>
      <x:c r="E41" t="n">
        <x:f>(Adimensional_A!B41-Reference_Stats!$B$2)/Reference_Stats!$C$2</x:f>
        <x:v>-1.3034055738820214</x:v>
      </x:c>
      <x:c r="F41" t="n">
        <x:f>(Adimensional_A!C41-Reference_Stats!$B$3)/Reference_Stats!$C$3</x:f>
        <x:v>0.2631602494251496</x:v>
      </x:c>
      <x:c r="G41" t="n">
        <x:f>(Adimensional_A!D41-Reference_Stats!$B$4)/Reference_Stats!$C$4</x:f>
        <x:v>-0.8037275137507242</x:v>
      </x:c>
      <x:c r="H41" t="n">
        <x:f>Adimensional_A!E41</x:f>
        <x:v>4.518518518518518</x:v>
      </x:c>
      <x:c r="I41" t="n">
        <x:f>Adimensional_A!F41</x:f>
        <x:v>1.6666666666666665</x:v>
      </x:c>
      <x:c r="J41" t="n">
        <x:f>Adimensional_A!G41</x:f>
        <x:v>16.296296296296294</x:v>
      </x:c>
      <x:c r="K41" t="n">
        <x:f>(Adimensional_A!E41-Reference_Stats!$B$5)/Reference_Stats!$C$5</x:f>
        <x:v>-1.1780296963657635</x:v>
      </x:c>
      <x:c r="L41" t="n">
        <x:f>(Adimensional_A!F41-Reference_Stats!$B$6)/Reference_Stats!$C$6</x:f>
        <x:v>-1.0511878206423146</x:v>
      </x:c>
      <x:c r="M41" t="n">
        <x:f>(Adimensional_A!G41-Reference_Stats!$B$7)/Reference_Stats!$C$7</x:f>
        <x:v>-0.9219652864947933</x:v>
      </x:c>
      <x:c r="N41" t="str">
        <x:f>Adimensional_A!I41</x:f>
        <x:v>γ≈1.00</x:v>
      </x:c>
      <x:c r="O41" t="str">
        <x:f>Adimensional_A!J41</x:f>
        <x:v>Train</x:v>
      </x:c>
    </x:row>
    <x:row r="42">
      <x:c r="A42" t="n">
        <x:f>Adimensional_A!A42</x:f>
        <x:v>40</x:v>
      </x:c>
      <x:c r="B42" t="n">
        <x:f>Adimensional_A!B42</x:f>
        <x:v>6.12</x:v>
      </x:c>
      <x:c r="C42" t="n">
        <x:f>Adimensional_A!C42</x:f>
        <x:v>0.713573116303493</x:v>
      </x:c>
      <x:c r="D42" t="n">
        <x:f>Adimensional_A!D42</x:f>
        <x:v>1.064</x:v>
      </x:c>
      <x:c r="E42" t="n">
        <x:f>(Adimensional_A!B42-Reference_Stats!$B$2)/Reference_Stats!$C$2</x:f>
        <x:v>0.05218837407855765</x:v>
      </x:c>
      <x:c r="F42" t="n">
        <x:f>(Adimensional_A!C42-Reference_Stats!$B$3)/Reference_Stats!$C$3</x:f>
        <x:v>-1.0712978810553666</x:v>
      </x:c>
      <x:c r="G42" t="n">
        <x:f>(Adimensional_A!D42-Reference_Stats!$B$4)/Reference_Stats!$C$4</x:f>
        <x:v>-0.7972361329967469</x:v>
      </x:c>
      <x:c r="H42" t="n">
        <x:f>Adimensional_A!E42</x:f>
        <x:v>7.944444444444445</x:v>
      </x:c>
      <x:c r="I42" t="n">
        <x:f>Adimensional_A!F42</x:f>
        <x:v>3.888888888888889</x:v>
      </x:c>
      <x:c r="J42" t="n">
        <x:f>Adimensional_A!G42</x:f>
        <x:v>33.333333333333336</x:v>
      </x:c>
      <x:c r="K42" t="n">
        <x:f>(Adimensional_A!E42-Reference_Stats!$B$5)/Reference_Stats!$C$5</x:f>
        <x:v>0.207354618384756</x:v>
      </x:c>
      <x:c r="L42" t="n">
        <x:f>(Adimensional_A!F42-Reference_Stats!$B$6)/Reference_Stats!$C$6</x:f>
        <x:v>0.6669603145217862</x:v>
      </x:c>
      <x:c r="M42" t="n">
        <x:f>(Adimensional_A!G42-Reference_Stats!$B$7)/Reference_Stats!$C$7</x:f>
        <x:v>0.5123686212260662</x:v>
      </x:c>
      <x:c r="N42" t="str">
        <x:f>Adimensional_A!I42</x:f>
        <x:v>γ≈1.00</x:v>
      </x:c>
      <x:c r="O42" t="str">
        <x:f>Adimensional_A!J42</x:f>
        <x:v>Train</x:v>
      </x:c>
    </x:row>
    <x:row r="43">
      <x:c r="A43" t="n">
        <x:f>Adimensional_A!A43</x:f>
        <x:v>41</x:v>
      </x:c>
      <x:c r="B43" t="n">
        <x:f>Adimensional_A!B43</x:f>
        <x:v>3.88</x:v>
      </x:c>
      <x:c r="C43" t="n">
        <x:f>Adimensional_A!C43</x:f>
        <x:v>1.0703596744552395</x:v>
      </x:c>
      <x:c r="D43" t="n">
        <x:f>Adimensional_A!D43</x:f>
        <x:v>1.072</x:v>
      </x:c>
      <x:c r="E43" t="n">
        <x:f>(Adimensional_A!B43-Reference_Stats!$B$2)/Reference_Stats!$C$2</x:f>
        <x:v>-1.2077827642748438</x:v>
      </x:c>
      <x:c r="F43" t="n">
        <x:f>(Adimensional_A!C43-Reference_Stats!$B$3)/Reference_Stats!$C$3</x:f>
        <x:v>0.2631602494251496</x:v>
      </x:c>
      <x:c r="G43" t="n">
        <x:f>(Adimensional_A!D43-Reference_Stats!$B$4)/Reference_Stats!$C$4</x:f>
        <x:v>-0.7712706099808376</x:v>
      </x:c>
      <x:c r="H43" t="n">
        <x:f>Adimensional_A!E43</x:f>
        <x:v>4.814814814814815</x:v>
      </x:c>
      <x:c r="I43" t="n">
        <x:f>Adimensional_A!F43</x:f>
        <x:v>1.8518518518518516</x:v>
      </x:c>
      <x:c r="J43" t="n">
        <x:f>Adimensional_A!G43</x:f>
        <x:v>17.407407407407405</x:v>
      </x:c>
      <x:c r="K43" t="n">
        <x:f>(Adimensional_A!E43-Reference_Stats!$B$5)/Reference_Stats!$C$5</x:f>
        <x:v>-1.0582126745495022</x:v>
      </x:c>
      <x:c r="L43" t="n">
        <x:f>(Adimensional_A!F43-Reference_Stats!$B$6)/Reference_Stats!$C$6</x:f>
        <x:v>-0.9080088093786396</x:v>
      </x:c>
      <x:c r="M43" t="n">
        <x:f>(Adimensional_A!G43-Reference_Stats!$B$7)/Reference_Stats!$C$7</x:f>
        <x:v>-0.8284217707738677</x:v>
      </x:c>
      <x:c r="N43" t="str">
        <x:f>Adimensional_A!I43</x:f>
        <x:v>γ≈1.00</x:v>
      </x:c>
      <x:c r="O43" t="str">
        <x:f>Adimensional_A!J43</x:f>
        <x:v>Train</x:v>
      </x:c>
    </x:row>
    <x:row r="44">
      <x:c r="A44" t="n">
        <x:f>Adimensional_A!A44</x:f>
        <x:v>42</x:v>
      </x:c>
      <x:c r="B44" t="n">
        <x:f>Adimensional_A!B44</x:f>
        <x:v>8.77</x:v>
      </x:c>
      <x:c r="C44" t="n">
        <x:f>Adimensional_A!C44</x:f>
        <x:v>0.911787870832241</x:v>
      </x:c>
      <x:c r="D44" t="n">
        <x:f>Adimensional_A!D44</x:f>
        <x:v>1.079</x:v>
      </x:c>
      <x:c r="E44" t="n">
        <x:f>(Adimensional_A!B44-Reference_Stats!$B$2)/Reference_Stats!$C$2</x:f>
        <x:v>1.542779229719858</x:v>
      </x:c>
      <x:c r="F44" t="n">
        <x:f>(Adimensional_A!C44-Reference_Stats!$B$3)/Reference_Stats!$C$3</x:f>
        <x:v>-0.32993225301063556</x:v>
      </x:c>
      <x:c r="G44" t="n">
        <x:f>(Adimensional_A!D44-Reference_Stats!$B$4)/Reference_Stats!$C$4</x:f>
        <x:v>-0.7485507773419174</x:v>
      </x:c>
      <x:c r="H44" t="n">
        <x:f>Adimensional_A!E44</x:f>
        <x:v>11.91304347826087</x:v>
      </x:c>
      <x:c r="I44" t="n">
        <x:f>Adimensional_A!F44</x:f>
        <x:v>5.6521739130434785</x:v>
      </x:c>
      <x:c r="J44" t="n">
        <x:f>Adimensional_A!G44</x:f>
        <x:v>50.00000000000001</x:v>
      </x:c>
      <x:c r="K44" t="n">
        <x:f>(Adimensional_A!E44-Reference_Stats!$B$5)/Reference_Stats!$C$5</x:f>
        <x:v>1.8121864133096228</x:v>
      </x:c>
      <x:c r="L44" t="n">
        <x:f>(Adimensional_A!F44-Reference_Stats!$B$6)/Reference_Stats!$C$6</x:f>
        <x:v>2.0302735087280834</x:v>
      </x:c>
      <x:c r="M44" t="n">
        <x:f>(Adimensional_A!G44-Reference_Stats!$B$7)/Reference_Stats!$C$7</x:f>
        <x:v>1.9155213570399505</x:v>
      </x:c>
      <x:c r="N44" t="str">
        <x:f>Adimensional_A!I44</x:f>
        <x:v>γ≈1.15</x:v>
      </x:c>
      <x:c r="O44" t="str">
        <x:f>Adimensional_A!J44</x:f>
        <x:v>Train</x:v>
      </x:c>
    </x:row>
    <x:row r="45">
      <x:c r="A45" t="n">
        <x:f>Adimensional_A!A45</x:f>
        <x:v>43</x:v>
      </x:c>
      <x:c r="B45" t="n">
        <x:f>Adimensional_A!B45</x:f>
        <x:v>5.79</x:v>
      </x:c>
      <x:c r="C45" t="n">
        <x:f>Adimensional_A!C45</x:f>
        <x:v>0.713573116303493</x:v>
      </x:c>
      <x:c r="D45" t="n">
        <x:f>Adimensional_A!D45</x:f>
        <x:v>1.082</x:v>
      </x:c>
      <x:c r="E45" t="n">
        <x:f>(Adimensional_A!B45-Reference_Stats!$B$2)/Reference_Stats!$C$2</x:f>
        <x:v>-0.13343237398243454</x:v>
      </x:c>
      <x:c r="F45" t="n">
        <x:f>(Adimensional_A!C45-Reference_Stats!$B$3)/Reference_Stats!$C$3</x:f>
        <x:v>-1.0712978810553666</x:v>
      </x:c>
      <x:c r="G45" t="n">
        <x:f>(Adimensional_A!D45-Reference_Stats!$B$4)/Reference_Stats!$C$4</x:f>
        <x:v>-0.7388137062109511</x:v>
      </x:c>
      <x:c r="H45" t="n">
        <x:f>Adimensional_A!E45</x:f>
        <x:v>7.5</x:v>
      </x:c>
      <x:c r="I45" t="n">
        <x:f>Adimensional_A!F45</x:f>
        <x:v>3.333333333333333</x:v>
      </x:c>
      <x:c r="J45" t="n">
        <x:f>Adimensional_A!G45</x:f>
        <x:v>30.555555555555554</x:v>
      </x:c>
      <x:c r="K45" t="n">
        <x:f>(Adimensional_A!E45-Reference_Stats!$B$5)/Reference_Stats!$C$5</x:f>
        <x:v>0.02762908566036424</x:v>
      </x:c>
      <x:c r="L45" t="n">
        <x:f>(Adimensional_A!F45-Reference_Stats!$B$6)/Reference_Stats!$C$6</x:f>
        <x:v>0.2374232807307608</x:v>
      </x:c>
      <x:c r="M45" t="n">
        <x:f>(Adimensional_A!G45-Reference_Stats!$B$7)/Reference_Stats!$C$7</x:f>
        <x:v>0.2785098319237519</x:v>
      </x:c>
      <x:c r="N45" t="str">
        <x:f>Adimensional_A!I45</x:f>
        <x:v>γ≈1.15</x:v>
      </x:c>
      <x:c r="O45" t="str">
        <x:f>Adimensional_A!J45</x:f>
        <x:v>Train</x:v>
      </x:c>
    </x:row>
    <x:row r="46">
      <x:c r="A46" t="n">
        <x:f>Adimensional_A!A46</x:f>
        <x:v>44</x:v>
      </x:c>
      <x:c r="B46" t="n">
        <x:f>Adimensional_A!B46</x:f>
        <x:v>9.89</x:v>
      </x:c>
      <x:c r="C46" t="n">
        <x:f>Adimensional_A!C46</x:f>
        <x:v>0.6342872144919938</x:v>
      </x:c>
      <x:c r="D46" t="n">
        <x:f>Adimensional_A!D46</x:f>
        <x:v>1.089</x:v>
      </x:c>
      <x:c r="E46" t="n">
        <x:f>(Adimensional_A!B46-Reference_Stats!$B$2)/Reference_Stats!$C$2</x:f>
        <x:v>2.172764798896559</x:v>
      </x:c>
      <x:c r="F46" t="n">
        <x:f>(Adimensional_A!C46-Reference_Stats!$B$3)/Reference_Stats!$C$3</x:f>
        <x:v>-1.367844132273259</x:v>
      </x:c>
      <x:c r="G46" t="n">
        <x:f>(Adimensional_A!D46-Reference_Stats!$B$4)/Reference_Stats!$C$4</x:f>
        <x:v>-0.7160938735720309</x:v>
      </x:c>
      <x:c r="H46" t="n">
        <x:f>Adimensional_A!E46</x:f>
        <x:v>12.6875</x:v>
      </x:c>
      <x:c r="I46" t="n">
        <x:f>Adimensional_A!F46</x:f>
        <x:v>6.25</x:v>
      </x:c>
      <x:c r="J46" t="n">
        <x:f>Adimensional_A!G46</x:f>
        <x:v>56.25</x:v>
      </x:c>
      <x:c r="K46" t="n">
        <x:f>(Adimensional_A!E46-Reference_Stats!$B$5)/Reference_Stats!$C$5</x:f>
        <x:v>2.1253630379278734</x:v>
      </x:c>
      <x:c r="L46" t="n">
        <x:f>(Adimensional_A!F46-Reference_Stats!$B$6)/Reference_Stats!$C$6</x:f>
        <x:v>2.492492708133643</x:v>
      </x:c>
      <x:c r="M46" t="n">
        <x:f>(Adimensional_A!G46-Reference_Stats!$B$7)/Reference_Stats!$C$7</x:f>
        <x:v>2.4417036329701562</x:v>
      </x:c>
      <x:c r="N46" t="str">
        <x:f>Adimensional_A!I46</x:f>
        <x:v>γ≈1.15</x:v>
      </x:c>
      <x:c r="O46" t="str">
        <x:f>Adimensional_A!J46</x:f>
        <x:v>Train</x:v>
      </x:c>
    </x:row>
    <x:row r="47">
      <x:c r="A47" t="n">
        <x:f>Adimensional_A!A47</x:f>
        <x:v>45</x:v>
      </x:c>
      <x:c r="B47" t="n">
        <x:f>Adimensional_A!B47</x:f>
        <x:v>7.86</x:v>
      </x:c>
      <x:c r="C47" t="n">
        <x:f>Adimensional_A!C47</x:f>
        <x:v>0.6342872144919938</x:v>
      </x:c>
      <x:c r="D47" t="n">
        <x:f>Adimensional_A!D47</x:f>
        <x:v>1.093</x:v>
      </x:c>
      <x:c r="E47" t="n">
        <x:f>(Adimensional_A!B47-Reference_Stats!$B$2)/Reference_Stats!$C$2</x:f>
        <x:v>1.0309159547637892</x:v>
      </x:c>
      <x:c r="F47" t="n">
        <x:f>(Adimensional_A!C47-Reference_Stats!$B$3)/Reference_Stats!$C$3</x:f>
        <x:v>-1.367844132273259</x:v>
      </x:c>
      <x:c r="G47" t="n">
        <x:f>(Adimensional_A!D47-Reference_Stats!$B$4)/Reference_Stats!$C$4</x:f>
        <x:v>-0.7031111120640763</x:v>
      </x:c>
      <x:c r="H47" t="n">
        <x:f>Adimensional_A!E47</x:f>
        <x:v>10.249999999999998</x:v>
      </x:c>
      <x:c r="I47" t="n">
        <x:f>Adimensional_A!F47</x:f>
        <x:v>4.375</x:v>
      </x:c>
      <x:c r="J47" t="n">
        <x:f>Adimensional_A!G47</x:f>
        <x:v>43.75</x:v>
      </x:c>
      <x:c r="K47" t="n">
        <x:f>(Adimensional_A!E47-Reference_Stats!$B$5)/Reference_Stats!$C$5</x:f>
        <x:v>1.139680819392537</x:v>
      </x:c>
      <x:c r="L47" t="n">
        <x:f>(Adimensional_A!F47-Reference_Stats!$B$6)/Reference_Stats!$C$6</x:f>
        <x:v>1.0428052190889332</x:v>
      </x:c>
      <x:c r="M47" t="n">
        <x:f>(Adimensional_A!G47-Reference_Stats!$B$7)/Reference_Stats!$C$7</x:f>
        <x:v>1.3893390811097435</x:v>
      </x:c>
      <x:c r="N47" t="str">
        <x:f>Adimensional_A!I47</x:f>
        <x:v>γ≈1.15</x:v>
      </x:c>
      <x:c r="O47" t="str">
        <x:f>Adimensional_A!J47</x:f>
        <x:v>Test</x:v>
      </x:c>
    </x:row>
    <x:row r="48">
      <x:c r="A48" t="n">
        <x:f>Adimensional_A!A48</x:f>
        <x:v>46</x:v>
      </x:c>
      <x:c r="B48" t="n">
        <x:f>Adimensional_A!B48</x:f>
        <x:v>4.36</x:v>
      </x:c>
      <x:c r="C48" t="n">
        <x:f>Adimensional_A!C48</x:f>
        <x:v>1.0307167235494898</x:v>
      </x:c>
      <x:c r="D48" t="n">
        <x:f>Adimensional_A!D48</x:f>
        <x:v>1.096</x:v>
      </x:c>
      <x:c r="E48" t="n">
        <x:f>(Adimensional_A!B48-Reference_Stats!$B$2)/Reference_Stats!$C$2</x:f>
        <x:v>-0.9377889489134004</x:v>
      </x:c>
      <x:c r="F48" t="n">
        <x:f>(Adimensional_A!C48-Reference_Stats!$B$3)/Reference_Stats!$C$3</x:f>
        <x:v>0.11488712381620322</x:v>
      </x:c>
      <x:c r="G48" t="n">
        <x:f>(Adimensional_A!D48-Reference_Stats!$B$4)/Reference_Stats!$C$4</x:f>
        <x:v>-0.69337404093311</x:v>
      </x:c>
      <x:c r="H48" t="n">
        <x:f>Adimensional_A!E48</x:f>
        <x:v>5.346153846153846</x:v>
      </x:c>
      <x:c r="I48" t="n">
        <x:f>Adimensional_A!F48</x:f>
        <x:v>2.1153846153846154</x:v>
      </x:c>
      <x:c r="J48" t="n">
        <x:f>Adimensional_A!G48</x:f>
        <x:v>20.384615384615383</x:v>
      </x:c>
      <x:c r="K48" t="n">
        <x:f>(Adimensional_A!E48-Reference_Stats!$B$5)/Reference_Stats!$C$5</x:f>
        <x:v>-0.8433484960039955</x:v>
      </x:c>
      <x:c r="L48" t="n">
        <x:f>(Adimensional_A!F48-Reference_Stats!$B$6)/Reference_Stats!$C$6</x:f>
        <x:v>-0.7042540625803326</x:v>
      </x:c>
      <x:c r="M48" t="n">
        <x:f>(Adimensional_A!G48-Reference_Stats!$B$7)/Reference_Stats!$C$7</x:f>
        <x:v>-0.57777311967549</x:v>
      </x:c>
      <x:c r="N48" t="str">
        <x:f>Adimensional_A!I48</x:f>
        <x:v>γ≈1.15</x:v>
      </x:c>
      <x:c r="O48" t="str">
        <x:f>Adimensional_A!J48</x:f>
        <x:v>Train</x:v>
      </x:c>
    </x:row>
    <x:row r="49">
      <x:c r="A49" t="n">
        <x:f>Adimensional_A!A49</x:f>
        <x:v>47</x:v>
      </x:c>
      <x:c r="B49" t="n">
        <x:f>Adimensional_A!B49</x:f>
        <x:v>9.38</x:v>
      </x:c>
      <x:c r="C49" t="n">
        <x:f>Adimensional_A!C49</x:f>
        <x:v>0.6342872144919938</x:v>
      </x:c>
      <x:c r="D49" t="n">
        <x:f>Adimensional_A!D49</x:f>
        <x:v>1.104</x:v>
      </x:c>
      <x:c r="E49" t="n">
        <x:f>(Adimensional_A!B49-Reference_Stats!$B$2)/Reference_Stats!$C$2</x:f>
        <x:v>1.885896370075026</x:v>
      </x:c>
      <x:c r="F49" t="n">
        <x:f>(Adimensional_A!C49-Reference_Stats!$B$3)/Reference_Stats!$C$3</x:f>
        <x:v>-1.367844132273259</x:v>
      </x:c>
      <x:c r="G49" t="n">
        <x:f>(Adimensional_A!D49-Reference_Stats!$B$4)/Reference_Stats!$C$4</x:f>
        <x:v>-0.6674085179172007</x:v>
      </x:c>
      <x:c r="H49" t="n">
        <x:f>Adimensional_A!E49</x:f>
        <x:v>11.875</x:v>
      </x:c>
      <x:c r="I49" t="n">
        <x:f>Adimensional_A!F49</x:f>
        <x:v>5.625</x:v>
      </x:c>
      <x:c r="J49" t="n">
        <x:f>Adimensional_A!G49</x:f>
        <x:v>52.5</x:v>
      </x:c>
      <x:c r="K49" t="n">
        <x:f>(Adimensional_A!E49-Reference_Stats!$B$5)/Reference_Stats!$C$5</x:f>
        <x:v>1.7968022984160947</x:v>
      </x:c>
      <x:c r="L49" t="n">
        <x:f>(Adimensional_A!F49-Reference_Stats!$B$6)/Reference_Stats!$C$6</x:f>
        <x:v>2.0092635451187397</x:v>
      </x:c>
      <x:c r="M49" t="n">
        <x:f>(Adimensional_A!G49-Reference_Stats!$B$7)/Reference_Stats!$C$7</x:f>
        <x:v>2.1259942674120325</x:v>
      </x:c>
      <x:c r="N49" t="str">
        <x:f>Adimensional_A!I49</x:f>
        <x:v>γ≈1.15</x:v>
      </x:c>
      <x:c r="O49" t="str">
        <x:f>Adimensional_A!J49</x:f>
        <x:v>Train</x:v>
      </x:c>
    </x:row>
    <x:row r="50">
      <x:c r="A50" t="n">
        <x:f>Adimensional_A!A50</x:f>
        <x:v>48</x:v>
      </x:c>
      <x:c r="B50" t="n">
        <x:f>Adimensional_A!B50</x:f>
        <x:v>5.8</x:v>
      </x:c>
      <x:c r="C50" t="n">
        <x:f>Adimensional_A!C50</x:f>
        <x:v>0.6342872144919938</x:v>
      </x:c>
      <x:c r="D50" t="n">
        <x:f>Adimensional_A!D50</x:f>
        <x:v>1.105</x:v>
      </x:c>
      <x:c r="E50" t="n">
        <x:f>(Adimensional_A!B50-Reference_Stats!$B$2)/Reference_Stats!$C$2</x:f>
        <x:v>-0.12780750282907127</x:v>
      </x:c>
      <x:c r="F50" t="n">
        <x:f>(Adimensional_A!C50-Reference_Stats!$B$3)/Reference_Stats!$C$3</x:f>
        <x:v>-1.367844132273259</x:v>
      </x:c>
      <x:c r="G50" t="n">
        <x:f>(Adimensional_A!D50-Reference_Stats!$B$4)/Reference_Stats!$C$4</x:f>
        <x:v>-0.6641628275402124</x:v>
      </x:c>
      <x:c r="H50" t="n">
        <x:f>Adimensional_A!E50</x:f>
        <x:v>6.687499999999999</x:v>
      </x:c>
      <x:c r="I50" t="n">
        <x:f>Adimensional_A!F50</x:f>
        <x:v>2.8125</x:v>
      </x:c>
      <x:c r="J50" t="n">
        <x:f>Adimensional_A!G50</x:f>
        <x:v>30</x:v>
      </x:c>
      <x:c r="K50" t="n">
        <x:f>(Adimensional_A!E50-Reference_Stats!$B$5)/Reference_Stats!$C$5</x:f>
        <x:v>-0.3009316538514146</x:v>
      </x:c>
      <x:c r="L50" t="n">
        <x:f>(Adimensional_A!F50-Reference_Stats!$B$6)/Reference_Stats!$C$6</x:f>
        <x:v>-0.16526768844832507</x:v>
      </x:c>
      <x:c r="M50" t="n">
        <x:f>(Adimensional_A!G50-Reference_Stats!$B$7)/Reference_Stats!$C$7</x:f>
        <x:v>0.23173807406328925</x:v>
      </x:c>
      <x:c r="N50" t="str">
        <x:f>Adimensional_A!I50</x:f>
        <x:v>γ≈1.15</x:v>
      </x:c>
      <x:c r="O50" t="str">
        <x:f>Adimensional_A!J50</x:f>
        <x:v>Train</x:v>
      </x:c>
    </x:row>
    <x:row r="51">
      <x:c r="A51" t="n">
        <x:f>Adimensional_A!A51</x:f>
        <x:v>49</x:v>
      </x:c>
      <x:c r="B51" t="n">
        <x:f>Adimensional_A!B51</x:f>
        <x:v>8.59</x:v>
      </x:c>
      <x:c r="C51" t="n">
        <x:f>Adimensional_A!C51</x:f>
        <x:v>0.6342872144919938</x:v>
      </x:c>
      <x:c r="D51" t="n">
        <x:f>Adimensional_A!D51</x:f>
        <x:v>1.111</x:v>
      </x:c>
      <x:c r="E51" t="n">
        <x:f>(Adimensional_A!B51-Reference_Stats!$B$2)/Reference_Stats!$C$2</x:f>
        <x:v>1.441531548959317</x:v>
      </x:c>
      <x:c r="F51" t="n">
        <x:f>(Adimensional_A!C51-Reference_Stats!$B$3)/Reference_Stats!$C$3</x:f>
        <x:v>-1.367844132273259</x:v>
      </x:c>
      <x:c r="G51" t="n">
        <x:f>(Adimensional_A!D51-Reference_Stats!$B$4)/Reference_Stats!$C$4</x:f>
        <x:v>-0.6446886852782805</x:v>
      </x:c>
      <x:c r="H51" t="n">
        <x:f>Adimensional_A!E51</x:f>
        <x:v>10.874999999999998</x:v>
      </x:c>
      <x:c r="I51" t="n">
        <x:f>Adimensional_A!F51</x:f>
        <x:v>5</x:v>
      </x:c>
      <x:c r="J51" t="n">
        <x:f>Adimensional_A!G51</x:f>
        <x:v>47.5</x:v>
      </x:c>
      <x:c r="K51" t="n">
        <x:f>(Adimensional_A!E51-Reference_Stats!$B$5)/Reference_Stats!$C$5</x:f>
        <x:v>1.3924198497862128</x:v>
      </x:c>
      <x:c r="L51" t="n">
        <x:f>(Adimensional_A!F51-Reference_Stats!$B$6)/Reference_Stats!$C$6</x:f>
        <x:v>1.5260343821038365</x:v>
      </x:c>
      <x:c r="M51" t="n">
        <x:f>(Adimensional_A!G51-Reference_Stats!$B$7)/Reference_Stats!$C$7</x:f>
        <x:v>1.7050484466678673</x:v>
      </x:c>
      <x:c r="N51" t="str">
        <x:f>Adimensional_A!I51</x:f>
        <x:v>γ≈1.15</x:v>
      </x:c>
      <x:c r="O51" t="str">
        <x:f>Adimensional_A!J51</x:f>
        <x:v>Train</x:v>
      </x:c>
    </x:row>
    <x:row r="52">
      <x:c r="A52" t="n">
        <x:f>Adimensional_A!A52</x:f>
        <x:v>50</x:v>
      </x:c>
      <x:c r="B52" t="n">
        <x:f>Adimensional_A!B52</x:f>
        <x:v>5.8</x:v>
      </x:c>
      <x:c r="C52" t="n">
        <x:f>Adimensional_A!C52</x:f>
        <x:v>0.9910737726437403</x:v>
      </x:c>
      <x:c r="D52" t="n">
        <x:f>Adimensional_A!D52</x:f>
        <x:v>1.121</x:v>
      </x:c>
      <x:c r="E52" t="n">
        <x:f>(Adimensional_A!B52-Reference_Stats!$B$2)/Reference_Stats!$C$2</x:f>
        <x:v>-0.12780750282907127</x:v>
      </x:c>
      <x:c r="F52" t="n">
        <x:f>(Adimensional_A!C52-Reference_Stats!$B$3)/Reference_Stats!$C$3</x:f>
        <x:v>-0.03338600179274276</x:v>
      </x:c>
      <x:c r="G52" t="n">
        <x:f>(Adimensional_A!D52-Reference_Stats!$B$4)/Reference_Stats!$C$4</x:f>
        <x:v>-0.612231781508394</x:v>
      </x:c>
      <x:c r="H52" t="n">
        <x:f>Adimensional_A!E52</x:f>
        <x:v>7.4799999999999995</x:v>
      </x:c>
      <x:c r="I52" t="n">
        <x:f>Adimensional_A!F52</x:f>
        <x:v>3.2</x:v>
      </x:c>
      <x:c r="J52" t="n">
        <x:f>Adimensional_A!G52</x:f>
        <x:v>29.6</x:v>
      </x:c>
      <x:c r="K52" t="n">
        <x:f>(Adimensional_A!E52-Reference_Stats!$B$5)/Reference_Stats!$C$5</x:f>
        <x:v>0.019541436687766426</x:v>
      </x:c>
      <x:c r="L52" t="n">
        <x:f>(Adimensional_A!F52-Reference_Stats!$B$6)/Reference_Stats!$C$6</x:f>
        <x:v>0.13433439262091512</x:v>
      </x:c>
      <x:c r="M52" t="n">
        <x:f>(Adimensional_A!G52-Reference_Stats!$B$7)/Reference_Stats!$C$7</x:f>
        <x:v>0.19806240840375613</x:v>
      </x:c>
      <x:c r="N52" t="str">
        <x:f>Adimensional_A!I52</x:f>
        <x:v>γ≈1.15</x:v>
      </x:c>
      <x:c r="O52" t="str">
        <x:f>Adimensional_A!J52</x:f>
        <x:v>Test</x:v>
      </x:c>
    </x:row>
    <x:row r="53">
      <x:c r="A53" t="n">
        <x:f>Adimensional_A!A53</x:f>
        <x:v>51</x:v>
      </x:c>
      <x:c r="B53" t="n">
        <x:f>Adimensional_A!B53</x:f>
        <x:v>4.39</x:v>
      </x:c>
      <x:c r="C53" t="n">
        <x:f>Adimensional_A!C53</x:f>
        <x:v>1.3478603307954866</x:v>
      </x:c>
      <x:c r="D53" t="n">
        <x:f>Adimensional_A!D53</x:f>
        <x:v>1.138</x:v>
      </x:c>
      <x:c r="E53" t="n">
        <x:f>(Adimensional_A!B53-Reference_Stats!$B$2)/Reference_Stats!$C$2</x:f>
        <x:v>-0.9209143354533106</x:v>
      </x:c>
      <x:c r="F53" t="n">
        <x:f>(Adimensional_A!C53-Reference_Stats!$B$3)/Reference_Stats!$C$3</x:f>
        <x:v>1.3010721286877727</x:v>
      </x:c>
      <x:c r="G53" t="n">
        <x:f>(Adimensional_A!D53-Reference_Stats!$B$4)/Reference_Stats!$C$4</x:f>
        <x:v>-0.5570550450995873</x:v>
      </x:c>
      <x:c r="H53" t="n">
        <x:f>Adimensional_A!E53</x:f>
        <x:v>5.176470588235294</x:v>
      </x:c>
      <x:c r="I53" t="n">
        <x:f>Adimensional_A!F53</x:f>
        <x:v>2.058823529411765</x:v>
      </x:c>
      <x:c r="J53" t="n">
        <x:f>Adimensional_A!G53</x:f>
        <x:v>19.11764705882353</x:v>
      </x:c>
      <x:c r="K53" t="n">
        <x:f>(Adimensional_A!E53-Reference_Stats!$B$5)/Reference_Stats!$C$5</x:f>
        <x:v>-0.9119654273325951</x:v>
      </x:c>
      <x:c r="L53" t="n">
        <x:f>(Adimensional_A!F53-Reference_Stats!$B$6)/Reference_Stats!$C$6</x:f>
        <x:v>-0.7479852085545318</x:v>
      </x:c>
      <x:c r="M53" t="n">
        <x:f>(Adimensional_A!G53-Reference_Stats!$B$7)/Reference_Stats!$C$7</x:f>
        <x:v>-0.6844381240269527</x:v>
      </x:c>
      <x:c r="N53" t="str">
        <x:f>Adimensional_A!I53</x:f>
        <x:v>γ≈1.15</x:v>
      </x:c>
      <x:c r="O53" t="str">
        <x:f>Adimensional_A!J53</x:f>
        <x:v>Train</x:v>
      </x:c>
    </x:row>
    <x:row r="54">
      <x:c r="A54" t="n">
        <x:f>Adimensional_A!A54</x:f>
        <x:v>52</x:v>
      </x:c>
      <x:c r="B54" t="n">
        <x:f>Adimensional_A!B54</x:f>
        <x:v>2.85</x:v>
      </x:c>
      <x:c r="C54" t="n">
        <x:f>Adimensional_A!C54</x:f>
        <x:v>1.110002625360989</x:v>
      </x:c>
      <x:c r="D54" t="n">
        <x:f>Adimensional_A!D54</x:f>
        <x:v>1.145</x:v>
      </x:c>
      <x:c r="E54" t="n">
        <x:f>(Adimensional_A!B54-Reference_Stats!$B$2)/Reference_Stats!$C$2</x:f>
        <x:v>-1.7871444930712737</x:v>
      </x:c>
      <x:c r="F54" t="n">
        <x:f>(Adimensional_A!C54-Reference_Stats!$B$3)/Reference_Stats!$C$3</x:f>
        <x:v>0.41143337503409516</x:v>
      </x:c>
      <x:c r="G54" t="n">
        <x:f>(Adimensional_A!D54-Reference_Stats!$B$4)/Reference_Stats!$C$4</x:f>
        <x:v>-0.5343352124606663</x:v>
      </x:c>
      <x:c r="H54" t="n">
        <x:f>Adimensional_A!E54</x:f>
        <x:v>3.3928571428571432</x:v>
      </x:c>
      <x:c r="I54" t="n">
        <x:f>Adimensional_A!F54</x:f>
        <x:v>1.0714285714285714</x:v>
      </x:c>
      <x:c r="J54" t="n">
        <x:f>Adimensional_A!G54</x:f>
        <x:v>9.285714285714286</x:v>
      </x:c>
      <x:c r="K54" t="n">
        <x:f>(Adimensional_A!E54-Reference_Stats!$B$5)/Reference_Stats!$C$5</x:f>
        <x:v>-1.633227399783791</x:v>
      </x:c>
      <x:c r="L54" t="n">
        <x:f>(Adimensional_A!F54-Reference_Stats!$B$6)/Reference_Stats!$C$6</x:f>
        <x:v>-1.5114060711326986</x:v>
      </x:c>
      <x:c r="M54" t="n">
        <x:f>(Adimensional_A!G54-Reference_Stats!$B$7)/Reference_Stats!$C$7</x:f>
        <x:v>-1.512180326162538</x:v>
      </x:c>
      <x:c r="N54" t="str">
        <x:f>Adimensional_A!I54</x:f>
        <x:v>γ≈1.15</x:v>
      </x:c>
      <x:c r="O54" t="str">
        <x:f>Adimensional_A!J54</x:f>
        <x:v>Train</x:v>
      </x:c>
    </x:row>
    <x:row r="55">
      <x:c r="A55" t="n">
        <x:f>Adimensional_A!A55</x:f>
        <x:v>53</x:v>
      </x:c>
      <x:c r="B55" t="n">
        <x:f>Adimensional_A!B55</x:f>
        <x:v>5.1</x:v>
      </x:c>
      <x:c r="C55" t="n">
        <x:f>Adimensional_A!C55</x:f>
        <x:v>0.6342872144919938</x:v>
      </x:c>
      <x:c r="D55" t="n">
        <x:f>Adimensional_A!D55</x:f>
        <x:v>1.146</x:v>
      </x:c>
      <x:c r="E55" t="n">
        <x:f>(Adimensional_A!B55-Reference_Stats!$B$2)/Reference_Stats!$C$2</x:f>
        <x:v>-0.5215484835645092</x:v>
      </x:c>
      <x:c r="F55" t="n">
        <x:f>(Adimensional_A!C55-Reference_Stats!$B$3)/Reference_Stats!$C$3</x:f>
        <x:v>-1.367844132273259</x:v>
      </x:c>
      <x:c r="G55" t="n">
        <x:f>(Adimensional_A!D55-Reference_Stats!$B$4)/Reference_Stats!$C$4</x:f>
        <x:v>-0.531089522083678</x:v>
      </x:c>
      <x:c r="H55" t="n">
        <x:f>Adimensional_A!E55</x:f>
        <x:v>6.374999999999999</x:v>
      </x:c>
      <x:c r="I55" t="n">
        <x:f>Adimensional_A!F55</x:f>
        <x:v>2.5</x:v>
      </x:c>
      <x:c r="J55" t="n">
        <x:f>Adimensional_A!G55</x:f>
        <x:v>24.375</x:v>
      </x:c>
      <x:c r="K55" t="n">
        <x:f>(Adimensional_A!E55-Reference_Stats!$B$5)/Reference_Stats!$C$5</x:f>
        <x:v>-0.42730116904825255</x:v>
      </x:c>
      <x:c r="L55" t="n">
        <x:f>(Adimensional_A!F55-Reference_Stats!$B$6)/Reference_Stats!$C$6</x:f>
        <x:v>-0.4068822699557767</x:v>
      </x:c>
      <x:c r="M55" t="n">
        <x:f>(Adimensional_A!G55-Reference_Stats!$B$7)/Reference_Stats!$C$7</x:f>
        <x:v>-0.24182597427389657</x:v>
      </x:c>
      <x:c r="N55" t="str">
        <x:f>Adimensional_A!I55</x:f>
        <x:v>γ≈1.15</x:v>
      </x:c>
      <x:c r="O55" t="str">
        <x:f>Adimensional_A!J55</x:f>
        <x:v>Train</x:v>
      </x:c>
    </x:row>
    <x:row r="56">
      <x:c r="A56" t="n">
        <x:f>Adimensional_A!A56</x:f>
        <x:v>54</x:v>
      </x:c>
      <x:c r="B56" t="n">
        <x:f>Adimensional_A!B56</x:f>
        <x:v>6.4</x:v>
      </x:c>
      <x:c r="C56" t="n">
        <x:f>Adimensional_A!C56</x:f>
        <x:v>1.1892885271724882</x:v>
      </x:c>
      <x:c r="D56" t="n">
        <x:f>Adimensional_A!D56</x:f>
        <x:v>1.147</x:v>
      </x:c>
      <x:c r="E56" t="n">
        <x:f>(Adimensional_A!B56-Reference_Stats!$B$2)/Reference_Stats!$C$2</x:f>
        <x:v>0.20968476637273295</x:v>
      </x:c>
      <x:c r="F56" t="n">
        <x:f>(Adimensional_A!C56-Reference_Stats!$B$3)/Reference_Stats!$C$3</x:f>
        <x:v>0.707979626251988</x:v>
      </x:c>
      <x:c r="G56" t="n">
        <x:f>(Adimensional_A!D56-Reference_Stats!$B$4)/Reference_Stats!$C$4</x:f>
        <x:v>-0.5278438317066889</x:v>
      </x:c>
      <x:c r="H56" t="n">
        <x:f>Adimensional_A!E56</x:f>
        <x:v>7.666666666666667</x:v>
      </x:c>
      <x:c r="I56" t="n">
        <x:f>Adimensional_A!F56</x:f>
        <x:v>3.3333333333333335</x:v>
      </x:c>
      <x:c r="J56" t="n">
        <x:f>Adimensional_A!G56</x:f>
        <x:v>30.666666666666668</x:v>
      </x:c>
      <x:c r="K56" t="n">
        <x:f>(Adimensional_A!E56-Reference_Stats!$B$5)/Reference_Stats!$C$5</x:f>
        <x:v>0.09502616043201124</x:v>
      </x:c>
      <x:c r="L56" t="n">
        <x:f>(Adimensional_A!F56-Reference_Stats!$B$6)/Reference_Stats!$C$6</x:f>
        <x:v>0.23742328073076113</x:v>
      </x:c>
      <x:c r="M56" t="n">
        <x:f>(Adimensional_A!G56-Reference_Stats!$B$7)/Reference_Stats!$C$7</x:f>
        <x:v>0.2878641834958447</x:v>
      </x:c>
      <x:c r="N56" t="str">
        <x:f>Adimensional_A!I56</x:f>
        <x:v>γ≈1.15</x:v>
      </x:c>
      <x:c r="O56" t="str">
        <x:f>Adimensional_A!J56</x:f>
        <x:v>Train</x:v>
      </x:c>
    </x:row>
    <x:row r="57">
      <x:c r="A57" t="n">
        <x:f>Adimensional_A!A57</x:f>
        <x:v>55</x:v>
      </x:c>
      <x:c r="B57" t="n">
        <x:f>Adimensional_A!B57</x:f>
        <x:v>7.44</x:v>
      </x:c>
      <x:c r="C57" t="n">
        <x:f>Adimensional_A!C57</x:f>
        <x:v>0.911787870832241</x:v>
      </x:c>
      <x:c r="D57" t="n">
        <x:f>Adimensional_A!D57</x:f>
        <x:v>1.147</x:v>
      </x:c>
      <x:c r="E57" t="n">
        <x:f>(Adimensional_A!B57-Reference_Stats!$B$2)/Reference_Stats!$C$2</x:f>
        <x:v>0.7946713663225264</x:v>
      </x:c>
      <x:c r="F57" t="n">
        <x:f>(Adimensional_A!C57-Reference_Stats!$B$3)/Reference_Stats!$C$3</x:f>
        <x:v>-0.32993225301063556</x:v>
      </x:c>
      <x:c r="G57" t="n">
        <x:f>(Adimensional_A!D57-Reference_Stats!$B$4)/Reference_Stats!$C$4</x:f>
        <x:v>-0.5278438317066889</x:v>
      </x:c>
      <x:c r="H57" t="n">
        <x:f>Adimensional_A!E57</x:f>
        <x:v>9.73913043478261</x:v>
      </x:c>
      <x:c r="I57" t="n">
        <x:f>Adimensional_A!F57</x:f>
        <x:v>4.347826086956522</x:v>
      </x:c>
      <x:c r="J57" t="n">
        <x:f>Adimensional_A!G57</x:f>
        <x:v>39.130434782608695</x:v>
      </x:c>
      <x:c r="K57" t="n">
        <x:f>(Adimensional_A!E57-Reference_Stats!$B$5)/Reference_Stats!$C$5</x:f>
        <x:v>0.9330941336794465</x:v>
      </x:c>
      <x:c r="L57" t="n">
        <x:f>(Adimensional_A!F57-Reference_Stats!$B$6)/Reference_Stats!$C$6</x:f>
        <x:v>1.0217952554795902</x:v>
      </x:c>
      <x:c r="M57" t="n">
        <x:f>(Adimensional_A!G57-Reference_Stats!$B$7)/Reference_Stats!$C$7</x:f>
        <x:v>1.0004217467265473</x:v>
      </x:c>
      <x:c r="N57" t="str">
        <x:f>Adimensional_A!I57</x:f>
        <x:v>γ≈1.15</x:v>
      </x:c>
      <x:c r="O57" t="str">
        <x:f>Adimensional_A!J57</x:f>
        <x:v>Test</x:v>
      </x:c>
    </x:row>
    <x:row r="58">
      <x:c r="A58" t="n">
        <x:f>Adimensional_A!A58</x:f>
        <x:v>56</x:v>
      </x:c>
      <x:c r="B58" t="n">
        <x:f>Adimensional_A!B58</x:f>
        <x:v>4.77</x:v>
      </x:c>
      <x:c r="C58" t="n">
        <x:f>Adimensional_A!C58</x:f>
        <x:v>1.3478603307954866</x:v>
      </x:c>
      <x:c r="D58" t="n">
        <x:f>Adimensional_A!D58</x:f>
        <x:v>1.152</x:v>
      </x:c>
      <x:c r="E58" t="n">
        <x:f>(Adimensional_A!B58-Reference_Stats!$B$2)/Reference_Stats!$C$2</x:f>
        <x:v>-0.7071692316255015</x:v>
      </x:c>
      <x:c r="F58" t="n">
        <x:f>(Adimensional_A!C58-Reference_Stats!$B$3)/Reference_Stats!$C$3</x:f>
        <x:v>1.3010721286877727</x:v>
      </x:c>
      <x:c r="G58" t="n">
        <x:f>(Adimensional_A!D58-Reference_Stats!$B$4)/Reference_Stats!$C$4</x:f>
        <x:v>-0.5116153798217461</x:v>
      </x:c>
      <x:c r="H58" t="n">
        <x:f>Adimensional_A!E58</x:f>
        <x:v>5.588235294117648</x:v>
      </x:c>
      <x:c r="I58" t="n">
        <x:f>Adimensional_A!F58</x:f>
        <x:v>2.3529411764705883</x:v>
      </x:c>
      <x:c r="J58" t="n">
        <x:f>Adimensional_A!G58</x:f>
        <x:v>21.176470588235293</x:v>
      </x:c>
      <x:c r="K58" t="n">
        <x:f>(Adimensional_A!E58-Reference_Stats!$B$5)/Reference_Stats!$C$5</x:f>
        <x:v>-0.7454550073085262</x:v>
      </x:c>
      <x:c r="L58" t="n">
        <x:f>(Adimensional_A!F58-Reference_Stats!$B$6)/Reference_Stats!$C$6</x:f>
        <x:v>-0.520583249488695</x:v>
      </x:c>
      <x:c r="M58" t="n">
        <x:f>(Adimensional_A!G58-Reference_Stats!$B$7)/Reference_Stats!$C$7</x:f>
        <x:v>-0.5111074919558258</x:v>
      </x:c>
      <x:c r="N58" t="str">
        <x:f>Adimensional_A!I58</x:f>
        <x:v>γ≈1.15</x:v>
      </x:c>
      <x:c r="O58" t="str">
        <x:f>Adimensional_A!J58</x:f>
        <x:v>Train</x:v>
      </x:c>
    </x:row>
    <x:row r="59">
      <x:c r="A59" t="n">
        <x:f>Adimensional_A!A59</x:f>
        <x:v>57</x:v>
      </x:c>
      <x:c r="B59" t="n">
        <x:f>Adimensional_A!B59</x:f>
        <x:v>8.57</x:v>
      </x:c>
      <x:c r="C59" t="n">
        <x:f>Adimensional_A!C59</x:f>
        <x:v>0.911787870832241</x:v>
      </x:c>
      <x:c r="D59" t="n">
        <x:f>Adimensional_A!D59</x:f>
        <x:v>1.153</x:v>
      </x:c>
      <x:c r="E59" t="n">
        <x:f>(Adimensional_A!B59-Reference_Stats!$B$2)/Reference_Stats!$C$2</x:f>
        <x:v>1.4302818066525904</x:v>
      </x:c>
      <x:c r="F59" t="n">
        <x:f>(Adimensional_A!C59-Reference_Stats!$B$3)/Reference_Stats!$C$3</x:f>
        <x:v>-0.32993225301063556</x:v>
      </x:c>
      <x:c r="G59" t="n">
        <x:f>(Adimensional_A!D59-Reference_Stats!$B$4)/Reference_Stats!$C$4</x:f>
        <x:v>-0.508369689444757</x:v>
      </x:c>
      <x:c r="H59" t="n">
        <x:f>Adimensional_A!E59</x:f>
        <x:v>11.217391304347828</x:v>
      </x:c>
      <x:c r="I59" t="n">
        <x:f>Adimensional_A!F59</x:f>
        <x:v>5.217391304347826</x:v>
      </x:c>
      <x:c r="J59" t="n">
        <x:f>Adimensional_A!G59</x:f>
        <x:v>45.652173913043484</x:v>
      </x:c>
      <x:c r="K59" t="n">
        <x:f>(Adimensional_A!E59-Reference_Stats!$B$5)/Reference_Stats!$C$5</x:f>
        <x:v>1.5308768838279672</x:v>
      </x:c>
      <x:c r="L59" t="n">
        <x:f>(Adimensional_A!F59-Reference_Stats!$B$6)/Reference_Stats!$C$6</x:f>
        <x:v>1.6941140909785855</x:v>
      </x:c>
      <x:c r="M59" t="n">
        <x:f>(Adimensional_A!G59-Reference_Stats!$B$7)/Reference_Stats!$C$7</x:f>
        <x:v>1.5494815129145894</x:v>
      </x:c>
      <x:c r="N59" t="str">
        <x:f>Adimensional_A!I59</x:f>
        <x:v>γ≈1.15</x:v>
      </x:c>
      <x:c r="O59" t="str">
        <x:f>Adimensional_A!J59</x:f>
        <x:v>Train</x:v>
      </x:c>
    </x:row>
    <x:row r="60">
      <x:c r="A60" t="n">
        <x:f>Adimensional_A!A60</x:f>
        <x:v>58</x:v>
      </x:c>
      <x:c r="B60" t="n">
        <x:f>Adimensional_A!B60</x:f>
        <x:v>8.96</x:v>
      </x:c>
      <x:c r="C60" t="n">
        <x:f>Adimensional_A!C60</x:f>
        <x:v>0.911787870832241</x:v>
      </x:c>
      <x:c r="D60" t="n">
        <x:f>Adimensional_A!D60</x:f>
        <x:v>1.155</x:v>
      </x:c>
      <x:c r="E60" t="n">
        <x:f>(Adimensional_A!B60-Reference_Stats!$B$2)/Reference_Stats!$C$2</x:f>
        <x:v>1.6496517816337632</x:v>
      </x:c>
      <x:c r="F60" t="n">
        <x:f>(Adimensional_A!C60-Reference_Stats!$B$3)/Reference_Stats!$C$3</x:f>
        <x:v>-0.32993225301063556</x:v>
      </x:c>
      <x:c r="G60" t="n">
        <x:f>(Adimensional_A!D60-Reference_Stats!$B$4)/Reference_Stats!$C$4</x:f>
        <x:v>-0.5018783086907798</x:v>
      </x:c>
      <x:c r="H60" t="n">
        <x:f>Adimensional_A!E60</x:f>
        <x:v>12.043478260869566</x:v>
      </x:c>
      <x:c r="I60" t="n">
        <x:f>Adimensional_A!F60</x:f>
        <x:v>5.6521739130434785</x:v>
      </x:c>
      <x:c r="J60" t="n">
        <x:f>Adimensional_A!G60</x:f>
        <x:v>47.82608695652174</x:v>
      </x:c>
      <x:c r="K60" t="n">
        <x:f>(Adimensional_A!E60-Reference_Stats!$B$5)/Reference_Stats!$C$5</x:f>
        <x:v>1.864931950087434</x:v>
      </x:c>
      <x:c r="L60" t="n">
        <x:f>(Adimensional_A!F60-Reference_Stats!$B$6)/Reference_Stats!$C$6</x:f>
        <x:v>2.0302735087280834</x:v>
      </x:c>
      <x:c r="M60" t="n">
        <x:f>(Adimensional_A!G60-Reference_Stats!$B$7)/Reference_Stats!$C$7</x:f>
        <x:v>1.7325014349772696</x:v>
      </x:c>
      <x:c r="N60" t="str">
        <x:f>Adimensional_A!I60</x:f>
        <x:v>γ≈1.15</x:v>
      </x:c>
      <x:c r="O60" t="str">
        <x:f>Adimensional_A!J60</x:f>
        <x:v>Train</x:v>
      </x:c>
    </x:row>
    <x:row r="61">
      <x:c r="A61" t="n">
        <x:f>Adimensional_A!A61</x:f>
        <x:v>59</x:v>
      </x:c>
      <x:c r="B61" t="n">
        <x:f>Adimensional_A!B61</x:f>
        <x:v>4.72</x:v>
      </x:c>
      <x:c r="C61" t="n">
        <x:f>Adimensional_A!C61</x:f>
        <x:v>0.9910737726437403</x:v>
      </x:c>
      <x:c r="D61" t="n">
        <x:f>Adimensional_A!D61</x:f>
        <x:v>1.162</x:v>
      </x:c>
      <x:c r="E61" t="n">
        <x:f>(Adimensional_A!B61-Reference_Stats!$B$2)/Reference_Stats!$C$2</x:f>
        <x:v>-0.7352935873923183</x:v>
      </x:c>
      <x:c r="F61" t="n">
        <x:f>(Adimensional_A!C61-Reference_Stats!$B$3)/Reference_Stats!$C$3</x:f>
        <x:v>-0.03338600179274276</x:v>
      </x:c>
      <x:c r="G61" t="n">
        <x:f>(Adimensional_A!D61-Reference_Stats!$B$4)/Reference_Stats!$C$4</x:f>
        <x:v>-0.4791584760518595</x:v>
      </x:c>
      <x:c r="H61" t="n">
        <x:f>Adimensional_A!E61</x:f>
        <x:v>5.96</x:v>
      </x:c>
      <x:c r="I61" t="n">
        <x:f>Adimensional_A!F61</x:f>
        <x:v>2.4</x:v>
      </x:c>
      <x:c r="J61" t="n">
        <x:f>Adimensional_A!G61</x:f>
        <x:v>21.6</x:v>
      </x:c>
      <x:c r="K61" t="n">
        <x:f>(Adimensional_A!E61-Reference_Stats!$B$5)/Reference_Stats!$C$5</x:f>
        <x:v>-0.595119885229653</x:v>
      </x:c>
      <x:c r="L61" t="n">
        <x:f>(Adimensional_A!F61-Reference_Stats!$B$6)/Reference_Stats!$C$6</x:f>
        <x:v>-0.48419893603816133</x:v>
      </x:c>
      <x:c r="M61" t="n">
        <x:f>(Adimensional_A!G61-Reference_Stats!$B$7)/Reference_Stats!$C$7</x:f>
        <x:v>-0.47545090478690816</x:v>
      </x:c>
      <x:c r="N61" t="str">
        <x:f>Adimensional_A!I61</x:f>
        <x:v>γ≈1.15</x:v>
      </x:c>
      <x:c r="O61" t="str">
        <x:f>Adimensional_A!J61</x:f>
        <x:v>Test</x:v>
      </x:c>
    </x:row>
    <x:row r="62">
      <x:c r="A62" t="n">
        <x:f>Adimensional_A!A62</x:f>
        <x:v>60</x:v>
      </x:c>
      <x:c r="B62" t="n">
        <x:f>Adimensional_A!B62</x:f>
        <x:v>5.28</x:v>
      </x:c>
      <x:c r="C62" t="n">
        <x:f>Adimensional_A!C62</x:f>
        <x:v>0.9910737726437403</x:v>
      </x:c>
      <x:c r="D62" t="n">
        <x:f>Adimensional_A!D62</x:f>
        <x:v>1.163</x:v>
      </x:c>
      <x:c r="E62" t="n">
        <x:f>(Adimensional_A!B62-Reference_Stats!$B$2)/Reference_Stats!$C$2</x:f>
        <x:v>-0.42030080280396775</x:v>
      </x:c>
      <x:c r="F62" t="n">
        <x:f>(Adimensional_A!C62-Reference_Stats!$B$3)/Reference_Stats!$C$3</x:f>
        <x:v>-0.03338600179274276</x:v>
      </x:c>
      <x:c r="G62" t="n">
        <x:f>(Adimensional_A!D62-Reference_Stats!$B$4)/Reference_Stats!$C$4</x:f>
        <x:v>-0.4759127856748705</x:v>
      </x:c>
      <x:c r="H62" t="n">
        <x:f>Adimensional_A!E62</x:f>
        <x:v>6.640000000000001</x:v>
      </x:c>
      <x:c r="I62" t="n">
        <x:f>Adimensional_A!F62</x:f>
        <x:v>2.8</x:v>
      </x:c>
      <x:c r="J62" t="n">
        <x:f>Adimensional_A!G62</x:f>
        <x:v>25.2</x:v>
      </x:c>
      <x:c r="K62" t="n">
        <x:f>(Adimensional_A!E62-Reference_Stats!$B$5)/Reference_Stats!$C$5</x:f>
        <x:v>-0.3201398201613334</x:v>
      </x:c>
      <x:c r="L62" t="n">
        <x:f>(Adimensional_A!F62-Reference_Stats!$B$6)/Reference_Stats!$C$6</x:f>
        <x:v>-0.17493227170862327</x:v>
      </x:c>
      <x:c r="M62" t="n">
        <x:f>(Adimensional_A!G62-Reference_Stats!$B$7)/Reference_Stats!$C$7</x:f>
        <x:v>-0.1723699138511094</x:v>
      </x:c>
      <x:c r="N62" t="str">
        <x:f>Adimensional_A!I62</x:f>
        <x:v>γ≈1.15</x:v>
      </x:c>
      <x:c r="O62" t="str">
        <x:f>Adimensional_A!J62</x:f>
        <x:v>Train</x:v>
      </x:c>
    </x:row>
    <x:row r="63">
      <x:c r="A63" t="n">
        <x:f>Adimensional_A!A63</x:f>
        <x:v>61</x:v>
      </x:c>
      <x:c r="B63" t="n">
        <x:f>Adimensional_A!B63</x:f>
        <x:v>7.16</x:v>
      </x:c>
      <x:c r="C63" t="n">
        <x:f>Adimensional_A!C63</x:f>
        <x:v>0.6342872144919938</x:v>
      </x:c>
      <x:c r="D63" t="n">
        <x:f>Adimensional_A!D63</x:f>
        <x:v>1.164</x:v>
      </x:c>
      <x:c r="E63" t="n">
        <x:f>(Adimensional_A!B63-Reference_Stats!$B$2)/Reference_Stats!$C$2</x:f>
        <x:v>0.6371749740283511</x:v>
      </x:c>
      <x:c r="F63" t="n">
        <x:f>(Adimensional_A!C63-Reference_Stats!$B$3)/Reference_Stats!$C$3</x:f>
        <x:v>-1.367844132273259</x:v>
      </x:c>
      <x:c r="G63" t="n">
        <x:f>(Adimensional_A!D63-Reference_Stats!$B$4)/Reference_Stats!$C$4</x:f>
        <x:v>-0.4726670952978822</x:v>
      </x:c>
      <x:c r="H63" t="n">
        <x:f>Adimensional_A!E63</x:f>
        <x:v>8.625</x:v>
      </x:c>
      <x:c r="I63" t="n">
        <x:f>Adimensional_A!F63</x:f>
        <x:v>3.75</x:v>
      </x:c>
      <x:c r="J63" t="n">
        <x:f>Adimensional_A!G63</x:f>
        <x:v>36.875</x:v>
      </x:c>
      <x:c r="K63" t="n">
        <x:f>(Adimensional_A!E63-Reference_Stats!$B$5)/Reference_Stats!$C$5</x:f>
        <x:v>0.4825593403689807</x:v>
      </x:c>
      <x:c r="L63" t="n">
        <x:f>(Adimensional_A!F63-Reference_Stats!$B$6)/Reference_Stats!$C$6</x:f>
        <x:v>0.5595760560740299</x:v>
      </x:c>
      <x:c r="M63" t="n">
        <x:f>(Adimensional_A!G63-Reference_Stats!$B$7)/Reference_Stats!$C$7</x:f>
        <x:v>0.8105385775865164</x:v>
      </x:c>
      <x:c r="N63" t="str">
        <x:f>Adimensional_A!I63</x:f>
        <x:v>γ≈1.15</x:v>
      </x:c>
      <x:c r="O63" t="str">
        <x:f>Adimensional_A!J63</x:f>
        <x:v>Train</x:v>
      </x:c>
    </x:row>
    <x:row r="64">
      <x:c r="A64" t="n">
        <x:f>Adimensional_A!A64</x:f>
        <x:v>62</x:v>
      </x:c>
      <x:c r="B64" t="n">
        <x:f>Adimensional_A!B64</x:f>
        <x:v>5.27</x:v>
      </x:c>
      <x:c r="C64" t="n">
        <x:f>Adimensional_A!C64</x:f>
        <x:v>0.9514308217379907</x:v>
      </x:c>
      <x:c r="D64" t="n">
        <x:f>Adimensional_A!D64</x:f>
        <x:v>1.168</x:v>
      </x:c>
      <x:c r="E64" t="n">
        <x:f>(Adimensional_A!B64-Reference_Stats!$B$2)/Reference_Stats!$C$2</x:f>
        <x:v>-0.42592567395733155</x:v>
      </x:c>
      <x:c r="F64" t="n">
        <x:f>(Adimensional_A!C64-Reference_Stats!$B$3)/Reference_Stats!$C$3</x:f>
        <x:v>-0.18165912740168916</x:v>
      </x:c>
      <x:c r="G64" t="n">
        <x:f>(Adimensional_A!D64-Reference_Stats!$B$4)/Reference_Stats!$C$4</x:f>
        <x:v>-0.4596843337899276</x:v>
      </x:c>
      <x:c r="H64" t="n">
        <x:f>Adimensional_A!E64</x:f>
        <x:v>6.458333333333334</x:v>
      </x:c>
      <x:c r="I64" t="n">
        <x:f>Adimensional_A!F64</x:f>
        <x:v>2.5</x:v>
      </x:c>
      <x:c r="J64" t="n">
        <x:f>Adimensional_A!G64</x:f>
        <x:v>25</x:v>
      </x:c>
      <x:c r="K64" t="n">
        <x:f>(Adimensional_A!E64-Reference_Stats!$B$5)/Reference_Stats!$C$5</x:f>
        <x:v>-0.39360263166242854</x:v>
      </x:c>
      <x:c r="L64" t="n">
        <x:f>(Adimensional_A!F64-Reference_Stats!$B$6)/Reference_Stats!$C$6</x:f>
        <x:v>-0.4068822699557767</x:v>
      </x:c>
      <x:c r="M64" t="n">
        <x:f>(Adimensional_A!G64-Reference_Stats!$B$7)/Reference_Stats!$C$7</x:f>
        <x:v>-0.18920774668087592</x:v>
      </x:c>
      <x:c r="N64" t="str">
        <x:f>Adimensional_A!I64</x:f>
        <x:v>γ≈1.15</x:v>
      </x:c>
      <x:c r="O64" t="str">
        <x:f>Adimensional_A!J64</x:f>
        <x:v>Test</x:v>
      </x:c>
    </x:row>
    <x:row r="65">
      <x:c r="A65" t="n">
        <x:f>Adimensional_A!A65</x:f>
        <x:v>63</x:v>
      </x:c>
      <x:c r="B65" t="n">
        <x:f>Adimensional_A!B65</x:f>
        <x:v>7.63</x:v>
      </x:c>
      <x:c r="C65" t="n">
        <x:f>Adimensional_A!C65</x:f>
        <x:v>0.9514308217379907</x:v>
      </x:c>
      <x:c r="D65" t="n">
        <x:f>Adimensional_A!D65</x:f>
        <x:v>1.169</x:v>
      </x:c>
      <x:c r="E65" t="n">
        <x:f>(Adimensional_A!B65-Reference_Stats!$B$2)/Reference_Stats!$C$2</x:f>
        <x:v>0.9015439182364308</x:v>
      </x:c>
      <x:c r="F65" t="n">
        <x:f>(Adimensional_A!C65-Reference_Stats!$B$3)/Reference_Stats!$C$3</x:f>
        <x:v>-0.18165912740168916</x:v>
      </x:c>
      <x:c r="G65" t="n">
        <x:f>(Adimensional_A!D65-Reference_Stats!$B$4)/Reference_Stats!$C$4</x:f>
        <x:v>-0.4564386434129386</x:v>
      </x:c>
      <x:c r="H65" t="n">
        <x:f>Adimensional_A!E65</x:f>
        <x:v>9.75</x:v>
      </x:c>
      <x:c r="I65" t="n">
        <x:f>Adimensional_A!F65</x:f>
        <x:v>4.166666666666667</x:v>
      </x:c>
      <x:c r="J65" t="n">
        <x:f>Adimensional_A!G65</x:f>
        <x:v>39.583333333333336</x:v>
      </x:c>
      <x:c r="K65" t="n">
        <x:f>(Adimensional_A!E65-Reference_Stats!$B$5)/Reference_Stats!$C$5</x:f>
        <x:v>0.9374895950775971</x:v>
      </x:c>
      <x:c r="L65" t="n">
        <x:f>(Adimensional_A!F65-Reference_Stats!$B$6)/Reference_Stats!$C$6</x:f>
        <x:v>0.881728831417299</x:v>
      </x:c>
      <x:c r="M65" t="n">
        <x:f>(Adimensional_A!G65-Reference_Stats!$B$7)/Reference_Stats!$C$7</x:f>
        <x:v>1.0385508971562727</x:v>
      </x:c>
      <x:c r="N65" t="str">
        <x:f>Adimensional_A!I65</x:f>
        <x:v>γ≈1.15</x:v>
      </x:c>
      <x:c r="O65" t="str">
        <x:f>Adimensional_A!J65</x:f>
        <x:v>Train</x:v>
      </x:c>
    </x:row>
    <x:row r="66">
      <x:c r="A66" t="n">
        <x:f>Adimensional_A!A66</x:f>
        <x:v>64</x:v>
      </x:c>
      <x:c r="B66" t="n">
        <x:f>Adimensional_A!B66</x:f>
        <x:v>3.53</x:v>
      </x:c>
      <x:c r="C66" t="n">
        <x:f>Adimensional_A!C66</x:f>
        <x:v>1.3478603307954866</x:v>
      </x:c>
      <x:c r="D66" t="n">
        <x:f>Adimensional_A!D66</x:f>
        <x:v>1.17</x:v>
      </x:c>
      <x:c r="E66" t="n">
        <x:f>(Adimensional_A!B66-Reference_Stats!$B$2)/Reference_Stats!$C$2</x:f>
        <x:v>-1.4046532546425627</x:v>
      </x:c>
      <x:c r="F66" t="n">
        <x:f>(Adimensional_A!C66-Reference_Stats!$B$3)/Reference_Stats!$C$3</x:f>
        <x:v>1.3010721286877727</x:v>
      </x:c>
      <x:c r="G66" t="n">
        <x:f>(Adimensional_A!D66-Reference_Stats!$B$4)/Reference_Stats!$C$4</x:f>
        <x:v>-0.4531929530359503</x:v>
      </x:c>
      <x:c r="H66" t="n">
        <x:f>Adimensional_A!E66</x:f>
        <x:v>4.264705882352941</x:v>
      </x:c>
      <x:c r="I66" t="n">
        <x:f>Adimensional_A!F66</x:f>
        <x:v>1.4705882352941178</x:v>
      </x:c>
      <x:c r="J66" t="n">
        <x:f>Adimensional_A!G66</x:f>
        <x:v>13.23529411764706</x:v>
      </x:c>
      <x:c r="K66" t="n">
        <x:f>(Adimensional_A!E66-Reference_Stats!$B$5)/Reference_Stats!$C$5</x:f>
        <x:v>-1.2806670716716047</x:v>
      </x:c>
      <x:c r="L66" t="n">
        <x:f>(Adimensional_A!F66-Reference_Stats!$B$6)/Reference_Stats!$C$6</x:f>
        <x:v>-1.2027891266862056</x:v>
      </x:c>
      <x:c r="M66" t="n">
        <x:f>(Adimensional_A!G66-Reference_Stats!$B$7)/Reference_Stats!$C$7</x:f>
        <x:v>-1.1796685013730293</x:v>
      </x:c>
      <x:c r="N66" t="str">
        <x:f>Adimensional_A!I66</x:f>
        <x:v>γ≈1.15</x:v>
      </x:c>
      <x:c r="O66" t="str">
        <x:f>Adimensional_A!J66</x:f>
        <x:v>Train</x:v>
      </x:c>
    </x:row>
    <x:row r="67">
      <x:c r="A67" t="n">
        <x:f>Adimensional_A!A67</x:f>
        <x:v>65</x:v>
      </x:c>
      <x:c r="B67" t="n">
        <x:f>Adimensional_A!B67</x:f>
        <x:v>9.09</x:v>
      </x:c>
      <x:c r="C67" t="n">
        <x:f>Adimensional_A!C67</x:f>
        <x:v>0.911787870832241</x:v>
      </x:c>
      <x:c r="D67" t="n">
        <x:f>Adimensional_A!D67</x:f>
        <x:v>1.173</x:v>
      </x:c>
      <x:c r="E67" t="n">
        <x:f>(Adimensional_A!B67-Reference_Stats!$B$2)/Reference_Stats!$C$2</x:f>
        <x:v>1.7227751066274868</x:v>
      </x:c>
      <x:c r="F67" t="n">
        <x:f>(Adimensional_A!C67-Reference_Stats!$B$3)/Reference_Stats!$C$3</x:f>
        <x:v>-0.32993225301063556</x:v>
      </x:c>
      <x:c r="G67" t="n">
        <x:f>(Adimensional_A!D67-Reference_Stats!$B$4)/Reference_Stats!$C$4</x:f>
        <x:v>-0.443455881904984</x:v>
      </x:c>
      <x:c r="H67" t="n">
        <x:f>Adimensional_A!E67</x:f>
        <x:v>12.173913043478262</x:v>
      </x:c>
      <x:c r="I67" t="n">
        <x:f>Adimensional_A!F67</x:f>
        <x:v>5.6521739130434785</x:v>
      </x:c>
      <x:c r="J67" t="n">
        <x:f>Adimensional_A!G67</x:f>
        <x:v>47.82608695652174</x:v>
      </x:c>
      <x:c r="K67" t="n">
        <x:f>(Adimensional_A!E67-Reference_Stats!$B$5)/Reference_Stats!$C$5</x:f>
        <x:v>1.9176774868652444</x:v>
      </x:c>
      <x:c r="L67" t="n">
        <x:f>(Adimensional_A!F67-Reference_Stats!$B$6)/Reference_Stats!$C$6</x:f>
        <x:v>2.0302735087280834</x:v>
      </x:c>
      <x:c r="M67" t="n">
        <x:f>(Adimensional_A!G67-Reference_Stats!$B$7)/Reference_Stats!$C$7</x:f>
        <x:v>1.7325014349772696</x:v>
      </x:c>
      <x:c r="N67" t="str">
        <x:f>Adimensional_A!I67</x:f>
        <x:v>γ≈1.15</x:v>
      </x:c>
      <x:c r="O67" t="str">
        <x:f>Adimensional_A!J67</x:f>
        <x:v>Train</x:v>
      </x:c>
    </x:row>
    <x:row r="68">
      <x:c r="A68" t="n">
        <x:f>Adimensional_A!A68</x:f>
        <x:v>66</x:v>
      </x:c>
      <x:c r="B68" t="n">
        <x:f>Adimensional_A!B68</x:f>
        <x:v>7.89</x:v>
      </x:c>
      <x:c r="C68" t="n">
        <x:f>Adimensional_A!C68</x:f>
        <x:v>0.911787870832241</x:v>
      </x:c>
      <x:c r="D68" t="n">
        <x:f>Adimensional_A!D68</x:f>
        <x:v>1.176</x:v>
      </x:c>
      <x:c r="E68" t="n">
        <x:f>(Adimensional_A!B68-Reference_Stats!$B$2)/Reference_Stats!$C$2</x:f>
        <x:v>1.047790568223879</x:v>
      </x:c>
      <x:c r="F68" t="n">
        <x:f>(Adimensional_A!C68-Reference_Stats!$B$3)/Reference_Stats!$C$3</x:f>
        <x:v>-0.32993225301063556</x:v>
      </x:c>
      <x:c r="G68" t="n">
        <x:f>(Adimensional_A!D68-Reference_Stats!$B$4)/Reference_Stats!$C$4</x:f>
        <x:v>-0.43371881077401836</x:v>
      </x:c>
      <x:c r="H68" t="n">
        <x:f>Adimensional_A!E68</x:f>
        <x:v>10.56521739130435</x:v>
      </x:c>
      <x:c r="I68" t="n">
        <x:f>Adimensional_A!F68</x:f>
        <x:v>4.782608695652175</x:v>
      </x:c>
      <x:c r="J68" t="n">
        <x:f>Adimensional_A!G68</x:f>
        <x:v>40.869565217391305</x:v>
      </x:c>
      <x:c r="K68" t="n">
        <x:f>(Adimensional_A!E68-Reference_Stats!$B$5)/Reference_Stats!$C$5</x:f>
        <x:v>1.267149199938914</x:v>
      </x:c>
      <x:c r="L68" t="n">
        <x:f>(Adimensional_A!F68-Reference_Stats!$B$6)/Reference_Stats!$C$6</x:f>
        <x:v>1.3579546732290881</x:v>
      </x:c>
      <x:c r="M68" t="n">
        <x:f>(Adimensional_A!G68-Reference_Stats!$B$7)/Reference_Stats!$C$7</x:f>
        <x:v>1.1468376843766919</x:v>
      </x:c>
      <x:c r="N68" t="str">
        <x:f>Adimensional_A!I68</x:f>
        <x:v>γ≈1.15</x:v>
      </x:c>
      <x:c r="O68" t="str">
        <x:f>Adimensional_A!J68</x:f>
        <x:v>Test</x:v>
      </x:c>
    </x:row>
    <x:row r="69">
      <x:c r="A69" t="n">
        <x:f>Adimensional_A!A69</x:f>
        <x:v>67</x:v>
      </x:c>
      <x:c r="B69" t="n">
        <x:f>Adimensional_A!B69</x:f>
        <x:v>6.98</x:v>
      </x:c>
      <x:c r="C69" t="n">
        <x:f>Adimensional_A!C69</x:f>
        <x:v>0.9514308217379907</x:v>
      </x:c>
      <x:c r="D69" t="n">
        <x:f>Adimensional_A!D69</x:f>
        <x:v>1.176</x:v>
      </x:c>
      <x:c r="E69" t="n">
        <x:f>(Adimensional_A!B69-Reference_Stats!$B$2)/Reference_Stats!$C$2</x:f>
        <x:v>0.5359272932678101</x:v>
      </x:c>
      <x:c r="F69" t="n">
        <x:f>(Adimensional_A!C69-Reference_Stats!$B$3)/Reference_Stats!$C$3</x:f>
        <x:v>-0.18165912740168916</x:v>
      </x:c>
      <x:c r="G69" t="n">
        <x:f>(Adimensional_A!D69-Reference_Stats!$B$4)/Reference_Stats!$C$4</x:f>
        <x:v>-0.43371881077401836</x:v>
      </x:c>
      <x:c r="H69" t="n">
        <x:f>Adimensional_A!E69</x:f>
        <x:v>8.75</x:v>
      </x:c>
      <x:c r="I69" t="n">
        <x:f>Adimensional_A!F69</x:f>
        <x:v>3.75</x:v>
      </x:c>
      <x:c r="J69" t="n">
        <x:f>Adimensional_A!G69</x:f>
        <x:v>35.41666666666667</x:v>
      </x:c>
      <x:c r="K69" t="n">
        <x:f>(Adimensional_A!E69-Reference_Stats!$B$5)/Reference_Stats!$C$5</x:f>
        <x:v>0.5331071464477158</x:v>
      </x:c>
      <x:c r="L69" t="n">
        <x:f>(Adimensional_A!F69-Reference_Stats!$B$6)/Reference_Stats!$C$6</x:f>
        <x:v>0.5595760560740299</x:v>
      </x:c>
      <x:c r="M69" t="n">
        <x:f>(Adimensional_A!G69-Reference_Stats!$B$7)/Reference_Stats!$C$7</x:f>
        <x:v>0.6877627132028019</x:v>
      </x:c>
      <x:c r="N69" t="str">
        <x:f>Adimensional_A!I69</x:f>
        <x:v>γ≈1.15</x:v>
      </x:c>
      <x:c r="O69" t="str">
        <x:f>Adimensional_A!J69</x:f>
        <x:v>Test</x:v>
      </x:c>
    </x:row>
    <x:row r="70">
      <x:c r="A70" t="n">
        <x:f>Adimensional_A!A70</x:f>
        <x:v>68</x:v>
      </x:c>
      <x:c r="B70" t="n">
        <x:f>Adimensional_A!B70</x:f>
        <x:v>3.47</x:v>
      </x:c>
      <x:c r="C70" t="n">
        <x:f>Adimensional_A!C70</x:f>
        <x:v>1.7839327907587326</x:v>
      </x:c>
      <x:c r="D70" t="n">
        <x:f>Adimensional_A!D70</x:f>
        <x:v>1.187</x:v>
      </x:c>
      <x:c r="E70" t="n">
        <x:f>(Adimensional_A!B70-Reference_Stats!$B$2)/Reference_Stats!$C$2</x:f>
        <x:v>-1.438402481562743</x:v>
      </x:c>
      <x:c r="F70" t="n">
        <x:f>(Adimensional_A!C70-Reference_Stats!$B$3)/Reference_Stats!$C$3</x:f>
        <x:v>2.932076510386182</x:v>
      </x:c>
      <x:c r="G70" t="n">
        <x:f>(Adimensional_A!D70-Reference_Stats!$B$4)/Reference_Stats!$C$4</x:f>
        <x:v>-0.3980162166271428</x:v>
      </x:c>
      <x:c r="H70" t="n">
        <x:f>Adimensional_A!E70</x:f>
        <x:v>3.822222222222222</x:v>
      </x:c>
      <x:c r="I70" t="n">
        <x:f>Adimensional_A!F70</x:f>
        <x:v>1.3333333333333333</x:v>
      </x:c>
      <x:c r="J70" t="n">
        <x:f>Adimensional_A!G70</x:f>
        <x:v>12.666666666666666</x:v>
      </x:c>
      <x:c r="K70" t="n">
        <x:f>(Adimensional_A!E70-Reference_Stats!$B$5)/Reference_Stats!$C$5</x:f>
        <x:v>-1.459599697633977</x:v>
      </x:c>
      <x:c r="L70" t="n">
        <x:f>(Adimensional_A!F70-Reference_Stats!$B$6)/Reference_Stats!$C$6</x:f>
        <x:v>-1.3089100409169296</x:v>
      </x:c>
      <x:c r="M70" t="n">
        <x:f>(Adimensional_A!G70-Reference_Stats!$B$7)/Reference_Stats!$C$7</x:f>
        <x:v>-1.22754077118315</x:v>
      </x:c>
      <x:c r="N70" t="str">
        <x:f>Adimensional_A!I70</x:f>
        <x:v>γ≈1.15</x:v>
      </x:c>
      <x:c r="O70" t="str">
        <x:f>Adimensional_A!J70</x:f>
        <x:v>Train</x:v>
      </x:c>
    </x:row>
    <x:row r="71">
      <x:c r="A71" t="n">
        <x:f>Adimensional_A!A71</x:f>
        <x:v>69</x:v>
      </x:c>
      <x:c r="B71" t="n">
        <x:f>Adimensional_A!B71</x:f>
        <x:v>4.72</x:v>
      </x:c>
      <x:c r="C71" t="n">
        <x:f>Adimensional_A!C71</x:f>
        <x:v>0.9514308217379907</x:v>
      </x:c>
      <x:c r="D71" t="n">
        <x:f>Adimensional_A!D71</x:f>
        <x:v>1.204</x:v>
      </x:c>
      <x:c r="E71" t="n">
        <x:f>(Adimensional_A!B71-Reference_Stats!$B$2)/Reference_Stats!$C$2</x:f>
        <x:v>-0.7352935873923183</x:v>
      </x:c>
      <x:c r="F71" t="n">
        <x:f>(Adimensional_A!C71-Reference_Stats!$B$3)/Reference_Stats!$C$3</x:f>
        <x:v>-0.18165912740168916</x:v>
      </x:c>
      <x:c r="G71" t="n">
        <x:f>(Adimensional_A!D71-Reference_Stats!$B$4)/Reference_Stats!$C$4</x:f>
        <x:v>-0.34283948021833605</x:v>
      </x:c>
      <x:c r="H71" t="n">
        <x:f>Adimensional_A!E71</x:f>
        <x:v>5.791666666666667</x:v>
      </x:c>
      <x:c r="I71" t="n">
        <x:f>Adimensional_A!F71</x:f>
        <x:v>2.0833333333333335</x:v>
      </x:c>
      <x:c r="J71" t="n">
        <x:f>Adimensional_A!G71</x:f>
        <x:v>20.833333333333336</x:v>
      </x:c>
      <x:c r="K71" t="n">
        <x:f>(Adimensional_A!E71-Reference_Stats!$B$5)/Reference_Stats!$C$5</x:f>
        <x:v>-0.6631909307490161</x:v>
      </x:c>
      <x:c r="L71" t="n">
        <x:f>(Adimensional_A!F71-Reference_Stats!$B$6)/Reference_Stats!$C$6</x:f>
        <x:v>-0.7290350452990455</x:v>
      </x:c>
      <x:c r="M71" t="n">
        <x:f>(Adimensional_A!G71-Reference_Stats!$B$7)/Reference_Stats!$C$7</x:f>
        <x:v>-0.5399959306343467</x:v>
      </x:c>
      <x:c r="N71" t="str">
        <x:f>Adimensional_A!I71</x:f>
        <x:v>γ≈1.15</x:v>
      </x:c>
      <x:c r="O71" t="str">
        <x:f>Adimensional_A!J71</x:f>
        <x:v>Test</x:v>
      </x:c>
    </x:row>
    <x:row r="72">
      <x:c r="A72" t="n">
        <x:f>Adimensional_A!A72</x:f>
        <x:v>70</x:v>
      </x:c>
      <x:c r="B72" t="n">
        <x:f>Adimensional_A!B72</x:f>
        <x:v>6.09</x:v>
      </x:c>
      <x:c r="C72" t="n">
        <x:f>Adimensional_A!C72</x:f>
        <x:v>0.9910737726437403</x:v>
      </x:c>
      <x:c r="D72" t="n">
        <x:f>Adimensional_A!D72</x:f>
        <x:v>1.207</x:v>
      </x:c>
      <x:c r="E72" t="n">
        <x:f>(Adimensional_A!B72-Reference_Stats!$B$2)/Reference_Stats!$C$2</x:f>
        <x:v>0.03531376061846731</x:v>
      </x:c>
      <x:c r="F72" t="n">
        <x:f>(Adimensional_A!C72-Reference_Stats!$B$3)/Reference_Stats!$C$3</x:f>
        <x:v>-0.03338600179274276</x:v>
      </x:c>
      <x:c r="G72" t="n">
        <x:f>(Adimensional_A!D72-Reference_Stats!$B$4)/Reference_Stats!$C$4</x:f>
        <x:v>-0.33310240908736977</x:v>
      </x:c>
      <x:c r="H72" t="n">
        <x:f>Adimensional_A!E72</x:f>
        <x:v>7.68</x:v>
      </x:c>
      <x:c r="I72" t="n">
        <x:f>Adimensional_A!F72</x:f>
        <x:v>3.2</x:v>
      </x:c>
      <x:c r="J72" t="n">
        <x:f>Adimensional_A!G72</x:f>
        <x:v>29.2</x:v>
      </x:c>
      <x:c r="K72" t="n">
        <x:f>(Adimensional_A!E72-Reference_Stats!$B$5)/Reference_Stats!$C$5</x:f>
        <x:v>0.10041792641374275</x:v>
      </x:c>
      <x:c r="L72" t="n">
        <x:f>(Adimensional_A!F72-Reference_Stats!$B$6)/Reference_Stats!$C$6</x:f>
        <x:v>0.13433439262091512</x:v>
      </x:c>
      <x:c r="M72" t="n">
        <x:f>(Adimensional_A!G72-Reference_Stats!$B$7)/Reference_Stats!$C$7</x:f>
        <x:v>0.16438674274422274</x:v>
      </x:c>
      <x:c r="N72" t="str">
        <x:f>Adimensional_A!I72</x:f>
        <x:v>γ≈1.15</x:v>
      </x:c>
      <x:c r="O72" t="str">
        <x:f>Adimensional_A!J72</x:f>
        <x:v>Train</x:v>
      </x:c>
    </x:row>
    <x:row r="73">
      <x:c r="A73" t="n">
        <x:f>Adimensional_A!A73</x:f>
        <x:v>71</x:v>
      </x:c>
      <x:c r="B73" t="n">
        <x:f>Adimensional_A!B73</x:f>
        <x:v>5.52</x:v>
      </x:c>
      <x:c r="C73" t="n">
        <x:f>Adimensional_A!C73</x:f>
        <x:v>1.2685744289839875</x:v>
      </x:c>
      <x:c r="D73" t="n">
        <x:f>Adimensional_A!D73</x:f>
        <x:v>1.211</x:v>
      </x:c>
      <x:c r="E73" t="n">
        <x:f>(Adimensional_A!B73-Reference_Stats!$B$2)/Reference_Stats!$C$2</x:f>
        <x:v>-0.28530389512324655</x:v>
      </x:c>
      <x:c r="F73" t="n">
        <x:f>(Adimensional_A!C73-Reference_Stats!$B$3)/Reference_Stats!$C$3</x:f>
        <x:v>1.0045258774698806</x:v>
      </x:c>
      <x:c r="G73" t="n">
        <x:f>(Adimensional_A!D73-Reference_Stats!$B$4)/Reference_Stats!$C$4</x:f>
        <x:v>-0.32011964757941513</x:v>
      </x:c>
      <x:c r="H73" t="n">
        <x:f>Adimensional_A!E73</x:f>
        <x:v>6.374999999999999</x:v>
      </x:c>
      <x:c r="I73" t="n">
        <x:f>Adimensional_A!F73</x:f>
        <x:v>2.8125</x:v>
      </x:c>
      <x:c r="J73" t="n">
        <x:f>Adimensional_A!G73</x:f>
        <x:v>24.375</x:v>
      </x:c>
      <x:c r="K73" t="n">
        <x:f>(Adimensional_A!E73-Reference_Stats!$B$5)/Reference_Stats!$C$5</x:f>
        <x:v>-0.42730116904825255</x:v>
      </x:c>
      <x:c r="L73" t="n">
        <x:f>(Adimensional_A!F73-Reference_Stats!$B$6)/Reference_Stats!$C$6</x:f>
        <x:v>-0.16526768844832507</x:v>
      </x:c>
      <x:c r="M73" t="n">
        <x:f>(Adimensional_A!G73-Reference_Stats!$B$7)/Reference_Stats!$C$7</x:f>
        <x:v>-0.24182597427389657</x:v>
      </x:c>
      <x:c r="N73" t="str">
        <x:f>Adimensional_A!I73</x:f>
        <x:v>γ≈1.15</x:v>
      </x:c>
      <x:c r="O73" t="str">
        <x:f>Adimensional_A!J73</x:f>
        <x:v>Train</x:v>
      </x:c>
    </x:row>
    <x:row r="74">
      <x:c r="A74" t="n">
        <x:f>Adimensional_A!A74</x:f>
        <x:v>72</x:v>
      </x:c>
      <x:c r="B74" t="n">
        <x:f>Adimensional_A!B74</x:f>
        <x:v>8.93</x:v>
      </x:c>
      <x:c r="C74" t="n">
        <x:f>Adimensional_A!C74</x:f>
        <x:v>0.911787870832241</x:v>
      </x:c>
      <x:c r="D74" t="n">
        <x:f>Adimensional_A!D74</x:f>
        <x:v>1.218</x:v>
      </x:c>
      <x:c r="E74" t="n">
        <x:f>(Adimensional_A!B74-Reference_Stats!$B$2)/Reference_Stats!$C$2</x:f>
        <x:v>1.6327771681736725</x:v>
      </x:c>
      <x:c r="F74" t="n">
        <x:f>(Adimensional_A!C74-Reference_Stats!$B$3)/Reference_Stats!$C$3</x:f>
        <x:v>-0.32993225301063556</x:v>
      </x:c>
      <x:c r="G74" t="n">
        <x:f>(Adimensional_A!D74-Reference_Stats!$B$4)/Reference_Stats!$C$4</x:f>
        <x:v>-0.29739981494049494</x:v>
      </x:c>
      <x:c r="H74" t="n">
        <x:f>Adimensional_A!E74</x:f>
        <x:v>11.956521739130435</x:v>
      </x:c>
      <x:c r="I74" t="n">
        <x:f>Adimensional_A!F74</x:f>
        <x:v>5.217391304347826</x:v>
      </x:c>
      <x:c r="J74" t="n">
        <x:f>Adimensional_A!G74</x:f>
        <x:v>45.21739130434783</x:v>
      </x:c>
      <x:c r="K74" t="n">
        <x:f>(Adimensional_A!E74-Reference_Stats!$B$5)/Reference_Stats!$C$5</x:f>
        <x:v>1.8297682589022266</x:v>
      </x:c>
      <x:c r="L74" t="n">
        <x:f>(Adimensional_A!F74-Reference_Stats!$B$6)/Reference_Stats!$C$6</x:f>
        <x:v>1.6941140909785855</x:v>
      </x:c>
      <x:c r="M74" t="n">
        <x:f>(Adimensional_A!G74-Reference_Stats!$B$7)/Reference_Stats!$C$7</x:f>
        <x:v>1.512877528502053</x:v>
      </x:c>
      <x:c r="N74" t="str">
        <x:f>Adimensional_A!I74</x:f>
        <x:v>γ≈1.15</x:v>
      </x:c>
      <x:c r="O74" t="str">
        <x:f>Adimensional_A!J74</x:f>
        <x:v>Train</x:v>
      </x:c>
    </x:row>
    <x:row r="75">
      <x:c r="A75" t="n">
        <x:f>Adimensional_A!A75</x:f>
        <x:v>73</x:v>
      </x:c>
      <x:c r="B75" t="n">
        <x:f>Adimensional_A!B75</x:f>
        <x:v>6.84</x:v>
      </x:c>
      <x:c r="C75" t="n">
        <x:f>Adimensional_A!C75</x:f>
        <x:v>0.9514308217379907</x:v>
      </x:c>
      <x:c r="D75" t="n">
        <x:f>Adimensional_A!D75</x:f>
        <x:v>1.22</x:v>
      </x:c>
      <x:c r="E75" t="n">
        <x:f>(Adimensional_A!B75-Reference_Stats!$B$2)/Reference_Stats!$C$2</x:f>
        <x:v>0.4571790971207222</x:v>
      </x:c>
      <x:c r="F75" t="n">
        <x:f>(Adimensional_A!C75-Reference_Stats!$B$3)/Reference_Stats!$C$3</x:f>
        <x:v>-0.18165912740168916</x:v>
      </x:c>
      <x:c r="G75" t="n">
        <x:f>(Adimensional_A!D75-Reference_Stats!$B$4)/Reference_Stats!$C$4</x:f>
        <x:v>-0.29090843418651763</x:v>
      </x:c>
      <x:c r="H75" t="n">
        <x:f>Adimensional_A!E75</x:f>
        <x:v>8.75</x:v>
      </x:c>
      <x:c r="I75" t="n">
        <x:f>Adimensional_A!F75</x:f>
        <x:v>3.75</x:v>
      </x:c>
      <x:c r="J75" t="n">
        <x:f>Adimensional_A!G75</x:f>
        <x:v>33.333333333333336</x:v>
      </x:c>
      <x:c r="K75" t="n">
        <x:f>(Adimensional_A!E75-Reference_Stats!$B$5)/Reference_Stats!$C$5</x:f>
        <x:v>0.5331071464477158</x:v>
      </x:c>
      <x:c r="L75" t="n">
        <x:f>(Adimensional_A!F75-Reference_Stats!$B$6)/Reference_Stats!$C$6</x:f>
        <x:v>0.5595760560740299</x:v>
      </x:c>
      <x:c r="M75" t="n">
        <x:f>(Adimensional_A!G75-Reference_Stats!$B$7)/Reference_Stats!$C$7</x:f>
        <x:v>0.5123686212260662</x:v>
      </x:c>
      <x:c r="N75" t="str">
        <x:f>Adimensional_A!I75</x:f>
        <x:v>γ≈1.15</x:v>
      </x:c>
      <x:c r="O75" t="str">
        <x:f>Adimensional_A!J75</x:f>
        <x:v>Train</x:v>
      </x:c>
    </x:row>
    <x:row r="76">
      <x:c r="A76" t="n">
        <x:f>Adimensional_A!A76</x:f>
        <x:v>74</x:v>
      </x:c>
      <x:c r="B76" t="n">
        <x:f>Adimensional_A!B76</x:f>
        <x:v>5.17</x:v>
      </x:c>
      <x:c r="C76" t="n">
        <x:f>Adimensional_A!C76</x:f>
        <x:v>0.6342872144919938</x:v>
      </x:c>
      <x:c r="D76" t="n">
        <x:f>Adimensional_A!D76</x:f>
        <x:v>1.23</x:v>
      </x:c>
      <x:c r="E76" t="n">
        <x:f>(Adimensional_A!B76-Reference_Stats!$B$2)/Reference_Stats!$C$2</x:f>
        <x:v>-0.4821743854909653</x:v>
      </x:c>
      <x:c r="F76" t="n">
        <x:f>(Adimensional_A!C76-Reference_Stats!$B$3)/Reference_Stats!$C$3</x:f>
        <x:v>-1.367844132273259</x:v>
      </x:c>
      <x:c r="G76" t="n">
        <x:f>(Adimensional_A!D76-Reference_Stats!$B$4)/Reference_Stats!$C$4</x:f>
        <x:v>-0.2584515304166311</x:v>
      </x:c>
      <x:c r="H76" t="n">
        <x:f>Adimensional_A!E76</x:f>
        <x:v>6.4375</x:v>
      </x:c>
      <x:c r="I76" t="n">
        <x:f>Adimensional_A!F76</x:f>
        <x:v>2.5</x:v>
      </x:c>
      <x:c r="J76" t="n">
        <x:f>Adimensional_A!G76</x:f>
        <x:v>23.125</x:v>
      </x:c>
      <x:c r="K76" t="n">
        <x:f>(Adimensional_A!E76-Reference_Stats!$B$5)/Reference_Stats!$C$5</x:f>
        <x:v>-0.4020272660088846</x:v>
      </x:c>
      <x:c r="L76" t="n">
        <x:f>(Adimensional_A!F76-Reference_Stats!$B$6)/Reference_Stats!$C$6</x:f>
        <x:v>-0.4068822699557767</x:v>
      </x:c>
      <x:c r="M76" t="n">
        <x:f>(Adimensional_A!G76-Reference_Stats!$B$7)/Reference_Stats!$C$7</x:f>
        <x:v>-0.34706242945993787</x:v>
      </x:c>
      <x:c r="N76" t="str">
        <x:f>Adimensional_A!I76</x:f>
        <x:v>γ≈1.30</x:v>
      </x:c>
      <x:c r="O76" t="str">
        <x:f>Adimensional_A!J76</x:f>
        <x:v>Train</x:v>
      </x:c>
    </x:row>
    <x:row r="77">
      <x:c r="A77" t="n">
        <x:f>Adimensional_A!A77</x:f>
        <x:v>75</x:v>
      </x:c>
      <x:c r="B77" t="n">
        <x:f>Adimensional_A!B77</x:f>
        <x:v>9.12</x:v>
      </x:c>
      <x:c r="C77" t="n">
        <x:f>Adimensional_A!C77</x:f>
        <x:v>0.911787870832241</x:v>
      </x:c>
      <x:c r="D77" t="n">
        <x:f>Adimensional_A!D77</x:f>
        <x:v>1.233</x:v>
      </x:c>
      <x:c r="E77" t="n">
        <x:f>(Adimensional_A!B77-Reference_Stats!$B$2)/Reference_Stats!$C$2</x:f>
        <x:v>1.7396497200875767</x:v>
      </x:c>
      <x:c r="F77" t="n">
        <x:f>(Adimensional_A!C77-Reference_Stats!$B$3)/Reference_Stats!$C$3</x:f>
        <x:v>-0.32993225301063556</x:v>
      </x:c>
      <x:c r="G77" t="n">
        <x:f>(Adimensional_A!D77-Reference_Stats!$B$4)/Reference_Stats!$C$4</x:f>
        <x:v>-0.24871445928566477</x:v>
      </x:c>
      <x:c r="H77" t="n">
        <x:f>Adimensional_A!E77</x:f>
        <x:v>12.347826086956522</x:v>
      </x:c>
      <x:c r="I77" t="n">
        <x:f>Adimensional_A!F77</x:f>
        <x:v>5.217391304347826</x:v>
      </x:c>
      <x:c r="J77" t="n">
        <x:f>Adimensional_A!G77</x:f>
        <x:v>45.652173913043484</x:v>
      </x:c>
      <x:c r="K77" t="n">
        <x:f>(Adimensional_A!E77-Reference_Stats!$B$5)/Reference_Stats!$C$5</x:f>
        <x:v>1.9880048692356582</x:v>
      </x:c>
      <x:c r="L77" t="n">
        <x:f>(Adimensional_A!F77-Reference_Stats!$B$6)/Reference_Stats!$C$6</x:f>
        <x:v>1.6941140909785855</x:v>
      </x:c>
      <x:c r="M77" t="n">
        <x:f>(Adimensional_A!G77-Reference_Stats!$B$7)/Reference_Stats!$C$7</x:f>
        <x:v>1.5494815129145894</x:v>
      </x:c>
      <x:c r="N77" t="str">
        <x:f>Adimensional_A!I77</x:f>
        <x:v>γ≈1.30</x:v>
      </x:c>
      <x:c r="O77" t="str">
        <x:f>Adimensional_A!J77</x:f>
        <x:v>Test</x:v>
      </x:c>
    </x:row>
    <x:row r="78">
      <x:c r="A78" t="n">
        <x:f>Adimensional_A!A78</x:f>
        <x:v>76</x:v>
      </x:c>
      <x:c r="B78" t="n">
        <x:f>Adimensional_A!B78</x:f>
        <x:v>4.92</x:v>
      </x:c>
      <x:c r="C78" t="n">
        <x:f>Adimensional_A!C78</x:f>
        <x:v>1.3478603307954866</x:v>
      </x:c>
      <x:c r="D78" t="n">
        <x:f>Adimensional_A!D78</x:f>
        <x:v>1.237</x:v>
      </x:c>
      <x:c r="E78" t="n">
        <x:f>(Adimensional_A!B78-Reference_Stats!$B$2)/Reference_Stats!$C$2</x:f>
        <x:v>-0.6227961643250502</x:v>
      </x:c>
      <x:c r="F78" t="n">
        <x:f>(Adimensional_A!C78-Reference_Stats!$B$3)/Reference_Stats!$C$3</x:f>
        <x:v>1.3010721286877727</x:v>
      </x:c>
      <x:c r="G78" t="n">
        <x:f>(Adimensional_A!D78-Reference_Stats!$B$4)/Reference_Stats!$C$4</x:f>
        <x:v>-0.23573169777771014</x:v>
      </x:c>
      <x:c r="H78" t="n">
        <x:f>Adimensional_A!E78</x:f>
        <x:v>5.8235294117647065</x:v>
      </x:c>
      <x:c r="I78" t="n">
        <x:f>Adimensional_A!F78</x:f>
        <x:v>2.3529411764705883</x:v>
      </x:c>
      <x:c r="J78" t="n">
        <x:f>Adimensional_A!G78</x:f>
        <x:v>20.58823529411765</x:v>
      </x:c>
      <x:c r="K78" t="n">
        <x:f>(Adimensional_A!E78-Reference_Stats!$B$5)/Reference_Stats!$C$5</x:f>
        <x:v>-0.6503061958662012</x:v>
      </x:c>
      <x:c r="L78" t="n">
        <x:f>(Adimensional_A!F78-Reference_Stats!$B$6)/Reference_Stats!$C$6</x:f>
        <x:v>-0.520583249488695</x:v>
      </x:c>
      <x:c r="M78" t="n">
        <x:f>(Adimensional_A!G78-Reference_Stats!$B$7)/Reference_Stats!$C$7</x:f>
        <x:v>-0.5606305296904334</x:v>
      </x:c>
      <x:c r="N78" t="str">
        <x:f>Adimensional_A!I78</x:f>
        <x:v>γ≈1.30</x:v>
      </x:c>
      <x:c r="O78" t="str">
        <x:f>Adimensional_A!J78</x:f>
        <x:v>Train</x:v>
      </x:c>
    </x:row>
    <x:row r="79">
      <x:c r="A79" t="n">
        <x:f>Adimensional_A!A79</x:f>
        <x:v>77</x:v>
      </x:c>
      <x:c r="B79" t="n">
        <x:f>Adimensional_A!B79</x:f>
        <x:v>5.49</x:v>
      </x:c>
      <x:c r="C79" t="n">
        <x:f>Adimensional_A!C79</x:f>
        <x:v>0.9910737726437403</x:v>
      </x:c>
      <x:c r="D79" t="n">
        <x:f>Adimensional_A!D79</x:f>
        <x:v>1.244</x:v>
      </x:c>
      <x:c r="E79" t="n">
        <x:f>(Adimensional_A!B79-Reference_Stats!$B$2)/Reference_Stats!$C$2</x:f>
        <x:v>-0.3021785085833364</x:v>
      </x:c>
      <x:c r="F79" t="n">
        <x:f>(Adimensional_A!C79-Reference_Stats!$B$3)/Reference_Stats!$C$3</x:f>
        <x:v>-0.03338600179274276</x:v>
      </x:c>
      <x:c r="G79" t="n">
        <x:f>(Adimensional_A!D79-Reference_Stats!$B$4)/Reference_Stats!$C$4</x:f>
        <x:v>-0.21301186513878992</x:v>
      </x:c>
      <x:c r="H79" t="n">
        <x:f>Adimensional_A!E79</x:f>
        <x:v>6.88</x:v>
      </x:c>
      <x:c r="I79" t="n">
        <x:f>Adimensional_A!F79</x:f>
        <x:v>2.8</x:v>
      </x:c>
      <x:c r="J79" t="n">
        <x:f>Adimensional_A!G79</x:f>
        <x:v>24.8</x:v>
      </x:c>
      <x:c r="K79" t="n">
        <x:f>(Adimensional_A!E79-Reference_Stats!$B$5)/Reference_Stats!$C$5</x:f>
        <x:v>-0.22308803249016218</x:v>
      </x:c>
      <x:c r="L79" t="n">
        <x:f>(Adimensional_A!F79-Reference_Stats!$B$6)/Reference_Stats!$C$6</x:f>
        <x:v>-0.17493227170862327</x:v>
      </x:c>
      <x:c r="M79" t="n">
        <x:f>(Adimensional_A!G79-Reference_Stats!$B$7)/Reference_Stats!$C$7</x:f>
        <x:v>-0.20604557951064248</x:v>
      </x:c>
      <x:c r="N79" t="str">
        <x:f>Adimensional_A!I79</x:f>
        <x:v>γ≈1.30</x:v>
      </x:c>
      <x:c r="O79" t="str">
        <x:f>Adimensional_A!J79</x:f>
        <x:v>Test</x:v>
      </x:c>
    </x:row>
    <x:row r="80">
      <x:c r="A80" t="n">
        <x:f>Adimensional_A!A80</x:f>
        <x:v>78</x:v>
      </x:c>
      <x:c r="B80" t="n">
        <x:f>Adimensional_A!B80</x:f>
        <x:v>6.38</x:v>
      </x:c>
      <x:c r="C80" t="n">
        <x:f>Adimensional_A!C80</x:f>
        <x:v>0.6342872144919938</x:v>
      </x:c>
      <x:c r="D80" t="n">
        <x:f>Adimensional_A!D80</x:f>
        <x:v>1.245</x:v>
      </x:c>
      <x:c r="E80" t="n">
        <x:f>(Adimensional_A!B80-Reference_Stats!$B$2)/Reference_Stats!$C$2</x:f>
        <x:v>0.19843502406600588</x:v>
      </x:c>
      <x:c r="F80" t="n">
        <x:f>(Adimensional_A!C80-Reference_Stats!$B$3)/Reference_Stats!$C$3</x:f>
        <x:v>-1.367844132273259</x:v>
      </x:c>
      <x:c r="G80" t="n">
        <x:f>(Adimensional_A!D80-Reference_Stats!$B$4)/Reference_Stats!$C$4</x:f>
        <x:v>-0.20976617476180093</x:v>
      </x:c>
      <x:c r="H80" t="n">
        <x:f>Adimensional_A!E80</x:f>
        <x:v>7.937499999999999</x:v>
      </x:c>
      <x:c r="I80" t="n">
        <x:f>Adimensional_A!F80</x:f>
        <x:v>3.125</x:v>
      </x:c>
      <x:c r="J80" t="n">
        <x:f>Adimensional_A!G80</x:f>
        <x:v>30</x:v>
      </x:c>
      <x:c r="K80" t="n">
        <x:f>(Adimensional_A!E80-Reference_Stats!$B$5)/Reference_Stats!$C$5</x:f>
        <x:v>0.20454640693593693</x:v>
      </x:c>
      <x:c r="L80" t="n">
        <x:f>(Adimensional_A!F80-Reference_Stats!$B$6)/Reference_Stats!$C$6</x:f>
        <x:v>0.07634689305912658</x:v>
      </x:c>
      <x:c r="M80" t="n">
        <x:f>(Adimensional_A!G80-Reference_Stats!$B$7)/Reference_Stats!$C$7</x:f>
        <x:v>0.23173807406328925</x:v>
      </x:c>
      <x:c r="N80" t="str">
        <x:f>Adimensional_A!I80</x:f>
        <x:v>γ≈1.30</x:v>
      </x:c>
      <x:c r="O80" t="str">
        <x:f>Adimensional_A!J80</x:f>
        <x:v>Train</x:v>
      </x:c>
    </x:row>
    <x:row r="81">
      <x:c r="A81" t="n">
        <x:f>Adimensional_A!A81</x:f>
        <x:v>79</x:v>
      </x:c>
      <x:c r="B81" t="n">
        <x:f>Adimensional_A!B81</x:f>
        <x:v>6.06</x:v>
      </x:c>
      <x:c r="C81" t="n">
        <x:f>Adimensional_A!C81</x:f>
        <x:v>0.6342872144919938</x:v>
      </x:c>
      <x:c r="D81" t="n">
        <x:f>Adimensional_A!D81</x:f>
        <x:v>1.247</x:v>
      </x:c>
      <x:c r="E81" t="n">
        <x:f>(Adimensional_A!B81-Reference_Stats!$B$2)/Reference_Stats!$C$2</x:f>
        <x:v>0.018439147158376978</x:v>
      </x:c>
      <x:c r="F81" t="n">
        <x:f>(Adimensional_A!C81-Reference_Stats!$B$3)/Reference_Stats!$C$3</x:f>
        <x:v>-1.367844132273259</x:v>
      </x:c>
      <x:c r="G81" t="n">
        <x:f>(Adimensional_A!D81-Reference_Stats!$B$4)/Reference_Stats!$C$4</x:f>
        <x:v>-0.2032747940078236</x:v>
      </x:c>
      <x:c r="H81" t="n">
        <x:f>Adimensional_A!E81</x:f>
        <x:v>6.8125</x:v>
      </x:c>
      <x:c r="I81" t="n">
        <x:f>Adimensional_A!F81</x:f>
        <x:v>2.8125</x:v>
      </x:c>
      <x:c r="J81" t="n">
        <x:f>Adimensional_A!G81</x:f>
        <x:v>28.125</x:v>
      </x:c>
      <x:c r="K81" t="n">
        <x:f>(Adimensional_A!E81-Reference_Stats!$B$5)/Reference_Stats!$C$5</x:f>
        <x:v>-0.25038384777267914</x:v>
      </x:c>
      <x:c r="L81" t="n">
        <x:f>(Adimensional_A!F81-Reference_Stats!$B$6)/Reference_Stats!$C$6</x:f>
        <x:v>-0.16526768844832507</x:v>
      </x:c>
      <x:c r="M81" t="n">
        <x:f>(Adimensional_A!G81-Reference_Stats!$B$7)/Reference_Stats!$C$7</x:f>
        <x:v>0.0738833912842273</x:v>
      </x:c>
      <x:c r="N81" t="str">
        <x:f>Adimensional_A!I81</x:f>
        <x:v>γ≈1.30</x:v>
      </x:c>
      <x:c r="O81" t="str">
        <x:f>Adimensional_A!J81</x:f>
        <x:v>Train</x:v>
      </x:c>
    </x:row>
    <x:row r="82">
      <x:c r="A82" t="n">
        <x:f>Adimensional_A!A82</x:f>
        <x:v>80</x:v>
      </x:c>
      <x:c r="B82" t="n">
        <x:f>Adimensional_A!B82</x:f>
        <x:v>3.86</x:v>
      </x:c>
      <x:c r="C82" t="n">
        <x:f>Adimensional_A!C82</x:f>
        <x:v>1.0703596744552395</x:v>
      </x:c>
      <x:c r="D82" t="n">
        <x:f>Adimensional_A!D82</x:f>
        <x:v>1.25</x:v>
      </x:c>
      <x:c r="E82" t="n">
        <x:f>(Adimensional_A!B82-Reference_Stats!$B$2)/Reference_Stats!$C$2</x:f>
        <x:v>-1.2190325065815706</x:v>
      </x:c>
      <x:c r="F82" t="n">
        <x:f>(Adimensional_A!C82-Reference_Stats!$B$3)/Reference_Stats!$C$3</x:f>
        <x:v>0.2631602494251496</x:v>
      </x:c>
      <x:c r="G82" t="n">
        <x:f>(Adimensional_A!D82-Reference_Stats!$B$4)/Reference_Stats!$C$4</x:f>
        <x:v>-0.193537722876858</x:v>
      </x:c>
      <x:c r="H82" t="n">
        <x:f>Adimensional_A!E82</x:f>
        <x:v>4.777777777777778</x:v>
      </x:c>
      <x:c r="I82" t="n">
        <x:f>Adimensional_A!F82</x:f>
        <x:v>1.6666666666666665</x:v>
      </x:c>
      <x:c r="J82" t="n">
        <x:f>Adimensional_A!G82</x:f>
        <x:v>14.814814814814813</x:v>
      </x:c>
      <x:c r="K82" t="n">
        <x:f>(Adimensional_A!E82-Reference_Stats!$B$5)/Reference_Stats!$C$5</x:f>
        <x:v>-1.073189802276535</x:v>
      </x:c>
      <x:c r="L82" t="n">
        <x:f>(Adimensional_A!F82-Reference_Stats!$B$6)/Reference_Stats!$C$6</x:f>
        <x:v>-1.0511878206423146</x:v>
      </x:c>
      <x:c r="M82" t="n">
        <x:f>(Adimensional_A!G82-Reference_Stats!$B$7)/Reference_Stats!$C$7</x:f>
        <x:v>-1.046689974122694</x:v>
      </x:c>
      <x:c r="N82" t="str">
        <x:f>Adimensional_A!I82</x:f>
        <x:v>γ≈1.30</x:v>
      </x:c>
      <x:c r="O82" t="str">
        <x:f>Adimensional_A!J82</x:f>
        <x:v>Train</x:v>
      </x:c>
    </x:row>
    <x:row r="83">
      <x:c r="A83" t="n">
        <x:f>Adimensional_A!A83</x:f>
        <x:v>81</x:v>
      </x:c>
      <x:c r="B83" t="n">
        <x:f>Adimensional_A!B83</x:f>
        <x:v>5.98</x:v>
      </x:c>
      <x:c r="C83" t="n">
        <x:f>Adimensional_A!C83</x:f>
        <x:v>0.9514308217379907</x:v>
      </x:c>
      <x:c r="D83" t="n">
        <x:f>Adimensional_A!D83</x:f>
        <x:v>1.273</x:v>
      </x:c>
      <x:c r="E83" t="n">
        <x:f>(Adimensional_A!B83-Reference_Stats!$B$2)/Reference_Stats!$C$2</x:f>
        <x:v>-0.026559822068529748</x:v>
      </x:c>
      <x:c r="F83" t="n">
        <x:f>(Adimensional_A!C83-Reference_Stats!$B$3)/Reference_Stats!$C$3</x:f>
        <x:v>-0.18165912740168916</x:v>
      </x:c>
      <x:c r="G83" t="n">
        <x:f>(Adimensional_A!D83-Reference_Stats!$B$4)/Reference_Stats!$C$4</x:f>
        <x:v>-0.11888684420611934</x:v>
      </x:c>
      <x:c r="H83" t="n">
        <x:f>Adimensional_A!E83</x:f>
        <x:v>7.375</x:v>
      </x:c>
      <x:c r="I83" t="n">
        <x:f>Adimensional_A!F83</x:f>
        <x:v>2.916666666666667</x:v>
      </x:c>
      <x:c r="J83" t="n">
        <x:f>Adimensional_A!G83</x:f>
        <x:v>27.083333333333336</x:v>
      </x:c>
      <x:c r="K83" t="n">
        <x:f>(Adimensional_A!E83-Reference_Stats!$B$5)/Reference_Stats!$C$5</x:f>
        <x:v>-0.02291872041837092</x:v>
      </x:c>
      <x:c r="L83" t="n">
        <x:f>(Adimensional_A!F83-Reference_Stats!$B$6)/Reference_Stats!$C$6</x:f>
        <x:v>-0.08472949461250763</x:v>
      </x:c>
      <x:c r="M83" t="n">
        <x:f>(Adimensional_A!G83-Reference_Stats!$B$7)/Reference_Stats!$C$7</x:f>
        <x:v>-0.013813654704140244</x:v>
      </x:c>
      <x:c r="N83" t="str">
        <x:f>Adimensional_A!I83</x:f>
        <x:v>γ≈1.30</x:v>
      </x:c>
      <x:c r="O83" t="str">
        <x:f>Adimensional_A!J83</x:f>
        <x:v>Train</x:v>
      </x:c>
    </x:row>
    <x:row r="84">
      <x:c r="A84" t="n">
        <x:f>Adimensional_A!A84</x:f>
        <x:v>82</x:v>
      </x:c>
      <x:c r="B84" t="n">
        <x:f>Adimensional_A!B84</x:f>
        <x:v>9.64</x:v>
      </x:c>
      <x:c r="C84" t="n">
        <x:f>Adimensional_A!C84</x:f>
        <x:v>0.6342872144919938</x:v>
      </x:c>
      <x:c r="D84" t="n">
        <x:f>Adimensional_A!D84</x:f>
        <x:v>1.273</x:v>
      </x:c>
      <x:c r="E84" t="n">
        <x:f>(Adimensional_A!B84-Reference_Stats!$B$2)/Reference_Stats!$C$2</x:f>
        <x:v>2.0321430200624744</x:v>
      </x:c>
      <x:c r="F84" t="n">
        <x:f>(Adimensional_A!C84-Reference_Stats!$B$3)/Reference_Stats!$C$3</x:f>
        <x:v>-1.367844132273259</x:v>
      </x:c>
      <x:c r="G84" t="n">
        <x:f>(Adimensional_A!D84-Reference_Stats!$B$4)/Reference_Stats!$C$4</x:f>
        <x:v>-0.11888684420611934</x:v>
      </x:c>
      <x:c r="H84" t="n">
        <x:f>Adimensional_A!E84</x:f>
        <x:v>12.124999999999998</x:v>
      </x:c>
      <x:c r="I84" t="n">
        <x:f>Adimensional_A!F84</x:f>
        <x:v>5.625</x:v>
      </x:c>
      <x:c r="J84" t="n">
        <x:f>Adimensional_A!G84</x:f>
        <x:v>46.875</x:v>
      </x:c>
      <x:c r="K84" t="n">
        <x:f>(Adimensional_A!E84-Reference_Stats!$B$5)/Reference_Stats!$C$5</x:f>
        <x:v>1.8978979105735645</x:v>
      </x:c>
      <x:c r="L84" t="n">
        <x:f>(Adimensional_A!F84-Reference_Stats!$B$6)/Reference_Stats!$C$6</x:f>
        <x:v>2.0092635451187397</x:v>
      </x:c>
      <x:c r="M84" t="n">
        <x:f>(Adimensional_A!G84-Reference_Stats!$B$7)/Reference_Stats!$C$7</x:f>
        <x:v>1.6524302190748468</x:v>
      </x:c>
      <x:c r="N84" t="str">
        <x:f>Adimensional_A!I84</x:f>
        <x:v>γ≈1.30</x:v>
      </x:c>
      <x:c r="O84" t="str">
        <x:f>Adimensional_A!J84</x:f>
        <x:v>Train</x:v>
      </x:c>
    </x:row>
    <x:row r="85">
      <x:c r="A85" t="n">
        <x:f>Adimensional_A!A85</x:f>
        <x:v>83</x:v>
      </x:c>
      <x:c r="B85" t="n">
        <x:f>Adimensional_A!B85</x:f>
        <x:v>5.52</x:v>
      </x:c>
      <x:c r="C85" t="n">
        <x:f>Adimensional_A!C85</x:f>
        <x:v>0.9514308217379907</x:v>
      </x:c>
      <x:c r="D85" t="n">
        <x:f>Adimensional_A!D85</x:f>
        <x:v>1.286</x:v>
      </x:c>
      <x:c r="E85" t="n">
        <x:f>(Adimensional_A!B85-Reference_Stats!$B$2)/Reference_Stats!$C$2</x:f>
        <x:v>-0.28530389512324655</x:v>
      </x:c>
      <x:c r="F85" t="n">
        <x:f>(Adimensional_A!C85-Reference_Stats!$B$3)/Reference_Stats!$C$3</x:f>
        <x:v>-0.18165912740168916</x:v>
      </x:c>
      <x:c r="G85" t="n">
        <x:f>(Adimensional_A!D85-Reference_Stats!$B$4)/Reference_Stats!$C$4</x:f>
        <x:v>-0.07669286930526649</x:v>
      </x:c>
      <x:c r="H85" t="n">
        <x:f>Adimensional_A!E85</x:f>
        <x:v>6.833333333333333</x:v>
      </x:c>
      <x:c r="I85" t="n">
        <x:f>Adimensional_A!F85</x:f>
        <x:v>2.5</x:v>
      </x:c>
      <x:c r="J85" t="n">
        <x:f>Adimensional_A!G85</x:f>
        <x:v>24.166666666666668</x:v>
      </x:c>
      <x:c r="K85" t="n">
        <x:f>(Adimensional_A!E85-Reference_Stats!$B$5)/Reference_Stats!$C$5</x:f>
        <x:v>-0.2419592134262234</x:v>
      </x:c>
      <x:c r="L85" t="n">
        <x:f>(Adimensional_A!F85-Reference_Stats!$B$6)/Reference_Stats!$C$6</x:f>
        <x:v>-0.4068822699557767</x:v>
      </x:c>
      <x:c r="M85" t="n">
        <x:f>(Adimensional_A!G85-Reference_Stats!$B$7)/Reference_Stats!$C$7</x:f>
        <x:v>-0.25936538347157</x:v>
      </x:c>
      <x:c r="N85" t="str">
        <x:f>Adimensional_A!I85</x:f>
        <x:v>γ≈1.30</x:v>
      </x:c>
      <x:c r="O85" t="str">
        <x:f>Adimensional_A!J85</x:f>
        <x:v>Test</x:v>
      </x:c>
    </x:row>
    <x:row r="86">
      <x:c r="A86" t="n">
        <x:f>Adimensional_A!A86</x:f>
        <x:v>84</x:v>
      </x:c>
      <x:c r="B86" t="n">
        <x:f>Adimensional_A!B86</x:f>
        <x:v>3.93</x:v>
      </x:c>
      <x:c r="C86" t="n">
        <x:f>Adimensional_A!C86</x:f>
        <x:v>0.9910737726437403</x:v>
      </x:c>
      <x:c r="D86" t="n">
        <x:f>Adimensional_A!D86</x:f>
        <x:v>1.287</x:v>
      </x:c>
      <x:c r="E86" t="n">
        <x:f>(Adimensional_A!B86-Reference_Stats!$B$2)/Reference_Stats!$C$2</x:f>
        <x:v>-1.1796584085080266</x:v>
      </x:c>
      <x:c r="F86" t="n">
        <x:f>(Adimensional_A!C86-Reference_Stats!$B$3)/Reference_Stats!$C$3</x:f>
        <x:v>-0.03338600179274276</x:v>
      </x:c>
      <x:c r="G86" t="n">
        <x:f>(Adimensional_A!D86-Reference_Stats!$B$4)/Reference_Stats!$C$4</x:f>
        <x:v>-0.07344717892827819</x:v>
      </x:c>
      <x:c r="H86" t="n">
        <x:f>Adimensional_A!E86</x:f>
        <x:v>4.68</x:v>
      </x:c>
      <x:c r="I86" t="n">
        <x:f>Adimensional_A!F86</x:f>
        <x:v>1.6</x:v>
      </x:c>
      <x:c r="J86" t="n">
        <x:f>Adimensional_A!G86</x:f>
        <x:v>14.8</x:v>
      </x:c>
      <x:c r="K86" t="n">
        <x:f>(Adimensional_A!E86-Reference_Stats!$B$5)/Reference_Stats!$C$5</x:f>
        <x:v>-1.112729419475901</x:v>
      </x:c>
      <x:c r="L86" t="n">
        <x:f>(Adimensional_A!F86-Reference_Stats!$B$6)/Reference_Stats!$C$6</x:f>
        <x:v>-1.1027322646972375</x:v>
      </x:c>
      <x:c r="M86" t="n">
        <x:f>(Adimensional_A!G86-Reference_Stats!$B$7)/Reference_Stats!$C$7</x:f>
        <x:v>-1.0479372209989728</x:v>
      </x:c>
      <x:c r="N86" t="str">
        <x:f>Adimensional_A!I86</x:f>
        <x:v>γ≈1.30</x:v>
      </x:c>
      <x:c r="O86" t="str">
        <x:f>Adimensional_A!J86</x:f>
        <x:v>Train</x:v>
      </x:c>
    </x:row>
    <x:row r="87">
      <x:c r="A87" t="n">
        <x:f>Adimensional_A!A87</x:f>
        <x:v>85</x:v>
      </x:c>
      <x:c r="B87" t="n">
        <x:f>Adimensional_A!B87</x:f>
        <x:v>4.19</x:v>
      </x:c>
      <x:c r="C87" t="n">
        <x:f>Adimensional_A!C87</x:f>
        <x:v>1.0703596744552395</x:v>
      </x:c>
      <x:c r="D87" t="n">
        <x:f>Adimensional_A!D87</x:f>
        <x:v>1.292</x:v>
      </x:c>
      <x:c r="E87" t="n">
        <x:f>(Adimensional_A!B87-Reference_Stats!$B$2)/Reference_Stats!$C$2</x:f>
        <x:v>-1.0334117585205782</x:v>
      </x:c>
      <x:c r="F87" t="n">
        <x:f>(Adimensional_A!C87-Reference_Stats!$B$3)/Reference_Stats!$C$3</x:f>
        <x:v>0.2631602494251496</x:v>
      </x:c>
      <x:c r="G87" t="n">
        <x:f>(Adimensional_A!D87-Reference_Stats!$B$4)/Reference_Stats!$C$4</x:f>
        <x:v>-0.05721872704333456</x:v>
      </x:c>
      <x:c r="H87" t="n">
        <x:f>Adimensional_A!E87</x:f>
        <x:v>5.0740740740740735</x:v>
      </x:c>
      <x:c r="I87" t="n">
        <x:f>Adimensional_A!F87</x:f>
        <x:v>1.8518518518518516</x:v>
      </x:c>
      <x:c r="J87" t="n">
        <x:f>Adimensional_A!G87</x:f>
        <x:v>16.296296296296294</x:v>
      </x:c>
      <x:c r="K87" t="n">
        <x:f>(Adimensional_A!E87-Reference_Stats!$B$5)/Reference_Stats!$C$5</x:f>
        <x:v>-0.9533727804602738</x:v>
      </x:c>
      <x:c r="L87" t="n">
        <x:f>(Adimensional_A!F87-Reference_Stats!$B$6)/Reference_Stats!$C$6</x:f>
        <x:v>-0.9080088093786396</x:v>
      </x:c>
      <x:c r="M87" t="n">
        <x:f>(Adimensional_A!G87-Reference_Stats!$B$7)/Reference_Stats!$C$7</x:f>
        <x:v>-0.9219652864947933</x:v>
      </x:c>
      <x:c r="N87" t="str">
        <x:f>Adimensional_A!I87</x:f>
        <x:v>γ≈1.30</x:v>
      </x:c>
      <x:c r="O87" t="str">
        <x:f>Adimensional_A!J87</x:f>
        <x:v>Test</x:v>
      </x:c>
    </x:row>
    <x:row r="88">
      <x:c r="A88" t="n">
        <x:f>Adimensional_A!A88</x:f>
        <x:v>86</x:v>
      </x:c>
      <x:c r="B88" t="n">
        <x:f>Adimensional_A!B88</x:f>
        <x:v>4.27</x:v>
      </x:c>
      <x:c r="C88" t="n">
        <x:f>Adimensional_A!C88</x:f>
        <x:v>1.3478603307954866</x:v>
      </x:c>
      <x:c r="D88" t="n">
        <x:f>Adimensional_A!D88</x:f>
        <x:v>1.292</x:v>
      </x:c>
      <x:c r="E88" t="n">
        <x:f>(Adimensional_A!B88-Reference_Stats!$B$2)/Reference_Stats!$C$2</x:f>
        <x:v>-0.9884127892936714</x:v>
      </x:c>
      <x:c r="F88" t="n">
        <x:f>(Adimensional_A!C88-Reference_Stats!$B$3)/Reference_Stats!$C$3</x:f>
        <x:v>1.3010721286877727</x:v>
      </x:c>
      <x:c r="G88" t="n">
        <x:f>(Adimensional_A!D88-Reference_Stats!$B$4)/Reference_Stats!$C$4</x:f>
        <x:v>-0.05721872704333456</x:v>
      </x:c>
      <x:c r="H88" t="n">
        <x:f>Adimensional_A!E88</x:f>
        <x:v>4.911764705882353</x:v>
      </x:c>
      <x:c r="I88" t="n">
        <x:f>Adimensional_A!F88</x:f>
        <x:v>1.7647058823529411</x:v>
      </x:c>
      <x:c r="J88" t="n">
        <x:f>Adimensional_A!G88</x:f>
        <x:v>16.176470588235293</x:v>
      </x:c>
      <x:c r="K88" t="n">
        <x:f>(Adimensional_A!E88-Reference_Stats!$B$5)/Reference_Stats!$C$5</x:f>
        <x:v>-1.0190078402052107</x:v>
      </x:c>
      <x:c r="L88" t="n">
        <x:f>(Adimensional_A!F88-Reference_Stats!$B$6)/Reference_Stats!$C$6</x:f>
        <x:v>-0.9753871676203689</x:v>
      </x:c>
      <x:c r="M88" t="n">
        <x:f>(Adimensional_A!G88-Reference_Stats!$B$7)/Reference_Stats!$C$7</x:f>
        <x:v>-0.932053312699991</x:v>
      </x:c>
      <x:c r="N88" t="str">
        <x:f>Adimensional_A!I88</x:f>
        <x:v>γ≈1.30</x:v>
      </x:c>
      <x:c r="O88" t="str">
        <x:f>Adimensional_A!J88</x:f>
        <x:v>Train</x:v>
      </x:c>
    </x:row>
    <x:row r="89">
      <x:c r="A89" t="n">
        <x:f>Adimensional_A!A89</x:f>
        <x:v>87</x:v>
      </x:c>
      <x:c r="B89" t="n">
        <x:f>Adimensional_A!B89</x:f>
        <x:v>7.79</x:v>
      </x:c>
      <x:c r="C89" t="n">
        <x:f>Adimensional_A!C89</x:f>
        <x:v>0.911787870832241</x:v>
      </x:c>
      <x:c r="D89" t="n">
        <x:f>Adimensional_A!D89</x:f>
        <x:v>1.296</x:v>
      </x:c>
      <x:c r="E89" t="n">
        <x:f>(Adimensional_A!B89-Reference_Stats!$B$2)/Reference_Stats!$C$2</x:f>
        <x:v>0.9915418566902452</x:v>
      </x:c>
      <x:c r="F89" t="n">
        <x:f>(Adimensional_A!C89-Reference_Stats!$B$3)/Reference_Stats!$C$3</x:f>
        <x:v>-0.32993225301063556</x:v>
      </x:c>
      <x:c r="G89" t="n">
        <x:f>(Adimensional_A!D89-Reference_Stats!$B$4)/Reference_Stats!$C$4</x:f>
        <x:v>-0.04423596553537995</x:v>
      </x:c>
      <x:c r="H89" t="n">
        <x:f>Adimensional_A!E89</x:f>
        <x:v>10</x:v>
      </x:c>
      <x:c r="I89" t="n">
        <x:f>Adimensional_A!F89</x:f>
        <x:v>4.347826086956522</x:v>
      </x:c>
      <x:c r="J89" t="n">
        <x:f>Adimensional_A!G89</x:f>
        <x:v>36.52173913043479</x:v>
      </x:c>
      <x:c r="K89" t="n">
        <x:f>(Adimensional_A!E89-Reference_Stats!$B$5)/Reference_Stats!$C$5</x:f>
        <x:v>1.0385852072350674</x:v>
      </x:c>
      <x:c r="L89" t="n">
        <x:f>(Adimensional_A!F89-Reference_Stats!$B$6)/Reference_Stats!$C$6</x:f>
        <x:v>1.0217952554795902</x:v>
      </x:c>
      <x:c r="M89" t="n">
        <x:f>(Adimensional_A!G89-Reference_Stats!$B$7)/Reference_Stats!$C$7</x:f>
        <x:v>0.7807978402513313</x:v>
      </x:c>
      <x:c r="N89" t="str">
        <x:f>Adimensional_A!I89</x:f>
        <x:v>γ≈1.30</x:v>
      </x:c>
      <x:c r="O89" t="str">
        <x:f>Adimensional_A!J89</x:f>
        <x:v>Test</x:v>
      </x:c>
    </x:row>
    <x:row r="90">
      <x:c r="A90" t="n">
        <x:f>Adimensional_A!A90</x:f>
        <x:v>88</x:v>
      </x:c>
      <x:c r="B90" t="n">
        <x:f>Adimensional_A!B90</x:f>
        <x:v>4.71</x:v>
      </x:c>
      <x:c r="C90" t="n">
        <x:f>Adimensional_A!C90</x:f>
        <x:v>1.0307167235494898</x:v>
      </x:c>
      <x:c r="D90" t="n">
        <x:f>Adimensional_A!D90</x:f>
        <x:v>1.299</x:v>
      </x:c>
      <x:c r="E90" t="n">
        <x:f>(Adimensional_A!B90-Reference_Stats!$B$2)/Reference_Stats!$C$2</x:f>
        <x:v>-0.7409184585456816</x:v>
      </x:c>
      <x:c r="F90" t="n">
        <x:f>(Adimensional_A!C90-Reference_Stats!$B$3)/Reference_Stats!$C$3</x:f>
        <x:v>0.11488712381620322</x:v>
      </x:c>
      <x:c r="G90" t="n">
        <x:f>(Adimensional_A!D90-Reference_Stats!$B$4)/Reference_Stats!$C$4</x:f>
        <x:v>-0.03449889440441435</x:v>
      </x:c>
      <x:c r="H90" t="n">
        <x:f>Adimensional_A!E90</x:f>
        <x:v>5.538461538461538</x:v>
      </x:c>
      <x:c r="I90" t="n">
        <x:f>Adimensional_A!F90</x:f>
        <x:v>2.1153846153846154</x:v>
      </x:c>
      <x:c r="J90" t="n">
        <x:f>Adimensional_A!G90</x:f>
        <x:v>19.23076923076923</x:v>
      </x:c>
      <x:c r="K90" t="n">
        <x:f>(Adimensional_A!E90-Reference_Stats!$B$5)/Reference_Stats!$C$5</x:f>
        <x:v>-0.7655826404982491</x:v>
      </x:c>
      <x:c r="L90" t="n">
        <x:f>(Adimensional_A!F90-Reference_Stats!$B$6)/Reference_Stats!$C$6</x:f>
        <x:v>-0.7042540625803326</x:v>
      </x:c>
      <x:c r="M90" t="n">
        <x:f>(Adimensional_A!G90-Reference_Stats!$B$7)/Reference_Stats!$C$7</x:f>
        <x:v>-0.6749144629241435</x:v>
      </x:c>
      <x:c r="N90" t="str">
        <x:f>Adimensional_A!I90</x:f>
        <x:v>γ≈1.30</x:v>
      </x:c>
      <x:c r="O90" t="str">
        <x:f>Adimensional_A!J90</x:f>
        <x:v>Test</x:v>
      </x:c>
    </x:row>
    <x:row r="91">
      <x:c r="A91" t="n">
        <x:f>Adimensional_A!A91</x:f>
        <x:v>89</x:v>
      </x:c>
      <x:c r="B91" t="n">
        <x:f>Adimensional_A!B91</x:f>
        <x:v>5.07</x:v>
      </x:c>
      <x:c r="C91" t="n">
        <x:f>Adimensional_A!C91</x:f>
        <x:v>0.9910737726437403</x:v>
      </x:c>
      <x:c r="D91" t="n">
        <x:f>Adimensional_A!D91</x:f>
        <x:v>1.306</x:v>
      </x:c>
      <x:c r="E91" t="n">
        <x:f>(Adimensional_A!B91-Reference_Stats!$B$2)/Reference_Stats!$C$2</x:f>
        <x:v>-0.5384230970245991</x:v>
      </x:c>
      <x:c r="F91" t="n">
        <x:f>(Adimensional_A!C91-Reference_Stats!$B$3)/Reference_Stats!$C$3</x:f>
        <x:v>-0.03338600179274276</x:v>
      </x:c>
      <x:c r="G91" t="n">
        <x:f>(Adimensional_A!D91-Reference_Stats!$B$4)/Reference_Stats!$C$4</x:f>
        <x:v>-0.011779061765493414</x:v>
      </x:c>
      <x:c r="H91" t="n">
        <x:f>Adimensional_A!E91</x:f>
        <x:v>6.12</x:v>
      </x:c>
      <x:c r="I91" t="n">
        <x:f>Adimensional_A!F91</x:f>
        <x:v>2.4</x:v>
      </x:c>
      <x:c r="J91" t="n">
        <x:f>Adimensional_A!G91</x:f>
        <x:v>21.2</x:v>
      </x:c>
      <x:c r="K91" t="n">
        <x:f>(Adimensional_A!E91-Reference_Stats!$B$5)/Reference_Stats!$C$5</x:f>
        <x:v>-0.5304186934488718</x:v>
      </x:c>
      <x:c r="L91" t="n">
        <x:f>(Adimensional_A!F91-Reference_Stats!$B$6)/Reference_Stats!$C$6</x:f>
        <x:v>-0.48419893603816133</x:v>
      </x:c>
      <x:c r="M91" t="n">
        <x:f>(Adimensional_A!G91-Reference_Stats!$B$7)/Reference_Stats!$C$7</x:f>
        <x:v>-0.5091265704464415</x:v>
      </x:c>
      <x:c r="N91" t="str">
        <x:f>Adimensional_A!I91</x:f>
        <x:v>γ≈1.30</x:v>
      </x:c>
      <x:c r="O91" t="str">
        <x:f>Adimensional_A!J91</x:f>
        <x:v>Test</x:v>
      </x:c>
    </x:row>
    <x:row r="92">
      <x:c r="A92" t="n">
        <x:f>Adimensional_A!A92</x:f>
        <x:v>90</x:v>
      </x:c>
      <x:c r="B92" t="n">
        <x:f>Adimensional_A!B92</x:f>
        <x:v>4.04</x:v>
      </x:c>
      <x:c r="C92" t="n">
        <x:f>Adimensional_A!C92</x:f>
        <x:v>0.6342872144919938</x:v>
      </x:c>
      <x:c r="D92" t="n">
        <x:f>Adimensional_A!D92</x:f>
        <x:v>1.324</x:v>
      </x:c>
      <x:c r="E92" t="n">
        <x:f>(Adimensional_A!B92-Reference_Stats!$B$2)/Reference_Stats!$C$2</x:f>
        <x:v>-1.1177848258210292</x:v>
      </x:c>
      <x:c r="F92" t="n">
        <x:f>(Adimensional_A!C92-Reference_Stats!$B$3)/Reference_Stats!$C$3</x:f>
        <x:v>-1.367844132273259</x:v>
      </x:c>
      <x:c r="G92" t="n">
        <x:f>(Adimensional_A!D92-Reference_Stats!$B$4)/Reference_Stats!$C$4</x:f>
        <x:v>0.04664336502030235</x:v>
      </x:c>
      <x:c r="H92" t="n">
        <x:f>Adimensional_A!E92</x:f>
        <x:v>4.0625</x:v>
      </x:c>
      <x:c r="I92" t="n">
        <x:f>Adimensional_A!F92</x:f>
        <x:v>1.5625</x:v>
      </x:c>
      <x:c r="J92" t="n">
        <x:f>Adimensional_A!G92</x:f>
        <x:v>15</x:v>
      </x:c>
      <x:c r="K92" t="n">
        <x:f>(Adimensional_A!E92-Reference_Stats!$B$5)/Reference_Stats!$C$5</x:f>
        <x:v>-1.3624355815048526</x:v>
      </x:c>
      <x:c r="L92" t="n">
        <x:f>(Adimensional_A!F92-Reference_Stats!$B$6)/Reference_Stats!$C$6</x:f>
        <x:v>-1.1317260144781316</x:v>
      </x:c>
      <x:c r="M92" t="n">
        <x:f>(Adimensional_A!G92-Reference_Stats!$B$7)/Reference_Stats!$C$7</x:f>
        <x:v>-1.0310993881692063</x:v>
      </x:c>
      <x:c r="N92" t="str">
        <x:f>Adimensional_A!I92</x:f>
        <x:v>γ≈1.30</x:v>
      </x:c>
      <x:c r="O92" t="str">
        <x:f>Adimensional_A!J92</x:f>
        <x:v>Train</x:v>
      </x:c>
    </x:row>
    <x:row r="93">
      <x:c r="A93" t="n">
        <x:f>Adimensional_A!A93</x:f>
        <x:v>91</x:v>
      </x:c>
      <x:c r="B93" t="n">
        <x:f>Adimensional_A!B93</x:f>
        <x:v>3.23</x:v>
      </x:c>
      <x:c r="C93" t="n">
        <x:f>Adimensional_A!C93</x:f>
        <x:v>1.7839327907587326</x:v>
      </x:c>
      <x:c r="D93" t="n">
        <x:f>Adimensional_A!D93</x:f>
        <x:v>1.331</x:v>
      </x:c>
      <x:c r="E93" t="n">
        <x:f>(Adimensional_A!B93-Reference_Stats!$B$2)/Reference_Stats!$C$2</x:f>
        <x:v>-1.5733993892434646</x:v>
      </x:c>
      <x:c r="F93" t="n">
        <x:f>(Adimensional_A!C93-Reference_Stats!$B$3)/Reference_Stats!$C$3</x:f>
        <x:v>2.932076510386182</x:v>
      </x:c>
      <x:c r="G93" t="n">
        <x:f>(Adimensional_A!D93-Reference_Stats!$B$4)/Reference_Stats!$C$4</x:f>
        <x:v>0.06936319765922257</x:v>
      </x:c>
      <x:c r="H93" t="n">
        <x:f>Adimensional_A!E93</x:f>
        <x:v>3.4222222222222225</x:v>
      </x:c>
      <x:c r="I93" t="n">
        <x:f>Adimensional_A!F93</x:f>
        <x:v>1.1111111111111112</x:v>
      </x:c>
      <x:c r="J93" t="n">
        <x:f>Adimensional_A!G93</x:f>
        <x:v>10</x:v>
      </x:c>
      <x:c r="K93" t="n">
        <x:f>(Adimensional_A!E93-Reference_Stats!$B$5)/Reference_Stats!$C$5</x:f>
        <x:v>-1.6213526770859292</x:v>
      </x:c>
      <x:c r="L93" t="n">
        <x:f>(Adimensional_A!F93-Reference_Stats!$B$6)/Reference_Stats!$C$6</x:f>
        <x:v>-1.4807248544333396</x:v>
      </x:c>
      <x:c r="M93" t="n">
        <x:f>(Adimensional_A!G93-Reference_Stats!$B$7)/Reference_Stats!$C$7</x:f>
        <x:v>-1.4520452089133715</x:v>
      </x:c>
      <x:c r="N93" t="str">
        <x:f>Adimensional_A!I93</x:f>
        <x:v>γ≈1.30</x:v>
      </x:c>
      <x:c r="O93" t="str">
        <x:f>Adimensional_A!J93</x:f>
        <x:v>Train</x:v>
      </x:c>
    </x:row>
    <x:row r="94">
      <x:c r="A94" t="n">
        <x:f>Adimensional_A!A94</x:f>
        <x:v>92</x:v>
      </x:c>
      <x:c r="B94" t="n">
        <x:f>Adimensional_A!B94</x:f>
        <x:v>7.2</x:v>
      </x:c>
      <x:c r="C94" t="n">
        <x:f>Adimensional_A!C94</x:f>
        <x:v>0.9514308217379907</x:v>
      </x:c>
      <x:c r="D94" t="n">
        <x:f>Adimensional_A!D94</x:f>
        <x:v>1.331</x:v>
      </x:c>
      <x:c r="E94" t="n">
        <x:f>(Adimensional_A!B94-Reference_Stats!$B$2)/Reference_Stats!$C$2</x:f>
        <x:v>0.6596744586418047</x:v>
      </x:c>
      <x:c r="F94" t="n">
        <x:f>(Adimensional_A!C94-Reference_Stats!$B$3)/Reference_Stats!$C$3</x:f>
        <x:v>-0.18165912740168916</x:v>
      </x:c>
      <x:c r="G94" t="n">
        <x:f>(Adimensional_A!D94-Reference_Stats!$B$4)/Reference_Stats!$C$4</x:f>
        <x:v>0.06936319765922257</x:v>
      </x:c>
      <x:c r="H94" t="n">
        <x:f>Adimensional_A!E94</x:f>
        <x:v>9.25</x:v>
      </x:c>
      <x:c r="I94" t="n">
        <x:f>Adimensional_A!F94</x:f>
        <x:v>3.75</x:v>
      </x:c>
      <x:c r="J94" t="n">
        <x:f>Adimensional_A!G94</x:f>
        <x:v>32.5</x:v>
      </x:c>
      <x:c r="K94" t="n">
        <x:f>(Adimensional_A!E94-Reference_Stats!$B$5)/Reference_Stats!$C$5</x:f>
        <x:v>0.7352983707626565</x:v>
      </x:c>
      <x:c r="L94" t="n">
        <x:f>(Adimensional_A!F94-Reference_Stats!$B$6)/Reference_Stats!$C$6</x:f>
        <x:v>0.5595760560740299</x:v>
      </x:c>
      <x:c r="M94" t="n">
        <x:f>(Adimensional_A!G94-Reference_Stats!$B$7)/Reference_Stats!$C$7</x:f>
        <x:v>0.4422109844353718</x:v>
      </x:c>
      <x:c r="N94" t="str">
        <x:f>Adimensional_A!I94</x:f>
        <x:v>γ≈1.30</x:v>
      </x:c>
      <x:c r="O94" t="str">
        <x:f>Adimensional_A!J94</x:f>
        <x:v>Train</x:v>
      </x:c>
    </x:row>
    <x:row r="95">
      <x:c r="A95" t="n">
        <x:f>Adimensional_A!A95</x:f>
        <x:v>93</x:v>
      </x:c>
      <x:c r="B95" t="n">
        <x:f>Adimensional_A!B95</x:f>
        <x:v>5.1</x:v>
      </x:c>
      <x:c r="C95" t="n">
        <x:f>Adimensional_A!C95</x:f>
        <x:v>1.3478603307954866</x:v>
      </x:c>
      <x:c r="D95" t="n">
        <x:f>Adimensional_A!D95</x:f>
        <x:v>1.335</x:v>
      </x:c>
      <x:c r="E95" t="n">
        <x:f>(Adimensional_A!B95-Reference_Stats!$B$2)/Reference_Stats!$C$2</x:f>
        <x:v>-0.5215484835645092</x:v>
      </x:c>
      <x:c r="F95" t="n">
        <x:f>(Adimensional_A!C95-Reference_Stats!$B$3)/Reference_Stats!$C$3</x:f>
        <x:v>1.3010721286877727</x:v>
      </x:c>
      <x:c r="G95" t="n">
        <x:f>(Adimensional_A!D95-Reference_Stats!$B$4)/Reference_Stats!$C$4</x:f>
        <x:v>0.08234595916717719</x:v>
      </x:c>
      <x:c r="H95" t="n">
        <x:f>Adimensional_A!E95</x:f>
        <x:v>5.911764705882353</x:v>
      </x:c>
      <x:c r="I95" t="n">
        <x:f>Adimensional_A!F95</x:f>
        <x:v>2.3529411764705883</x:v>
      </x:c>
      <x:c r="J95" t="n">
        <x:f>Adimensional_A!G95</x:f>
        <x:v>20</x:v>
      </x:c>
      <x:c r="K95" t="n">
        <x:f>(Adimensional_A!E95-Reference_Stats!$B$5)/Reference_Stats!$C$5</x:f>
        <x:v>-0.6146253915753295</x:v>
      </x:c>
      <x:c r="L95" t="n">
        <x:f>(Adimensional_A!F95-Reference_Stats!$B$6)/Reference_Stats!$C$6</x:f>
        <x:v>-0.520583249488695</x:v>
      </x:c>
      <x:c r="M95" t="n">
        <x:f>(Adimensional_A!G95-Reference_Stats!$B$7)/Reference_Stats!$C$7</x:f>
        <x:v>-0.6101535674250411</x:v>
      </x:c>
      <x:c r="N95" t="str">
        <x:f>Adimensional_A!I95</x:f>
        <x:v>γ≈1.30</x:v>
      </x:c>
      <x:c r="O95" t="str">
        <x:f>Adimensional_A!J95</x:f>
        <x:v>Train</x:v>
      </x:c>
    </x:row>
    <x:row r="96">
      <x:c r="A96" t="n">
        <x:f>Adimensional_A!A96</x:f>
        <x:v>94</x:v>
      </x:c>
      <x:c r="B96" t="n">
        <x:f>Adimensional_A!B96</x:f>
        <x:v>8.57</x:v>
      </x:c>
      <x:c r="C96" t="n">
        <x:f>Adimensional_A!C96</x:f>
        <x:v>0.911787870832241</x:v>
      </x:c>
      <x:c r="D96" t="n">
        <x:f>Adimensional_A!D96</x:f>
        <x:v>1.346</x:v>
      </x:c>
      <x:c r="E96" t="n">
        <x:f>(Adimensional_A!B96-Reference_Stats!$B$2)/Reference_Stats!$C$2</x:f>
        <x:v>1.4302818066525904</x:v>
      </x:c>
      <x:c r="F96" t="n">
        <x:f>(Adimensional_A!C96-Reference_Stats!$B$3)/Reference_Stats!$C$3</x:f>
        <x:v>-0.32993225301063556</x:v>
      </x:c>
      <x:c r="G96" t="n">
        <x:f>(Adimensional_A!D96-Reference_Stats!$B$4)/Reference_Stats!$C$4</x:f>
        <x:v>0.11804855331405273</x:v>
      </x:c>
      <x:c r="H96" t="n">
        <x:f>Adimensional_A!E96</x:f>
        <x:v>11.000000000000002</x:v>
      </x:c>
      <x:c r="I96" t="n">
        <x:f>Adimensional_A!F96</x:f>
        <x:v>4.782608695652175</x:v>
      </x:c>
      <x:c r="J96" t="n">
        <x:f>Adimensional_A!G96</x:f>
        <x:v>39.130434782608695</x:v>
      </x:c>
      <x:c r="K96" t="n">
        <x:f>(Adimensional_A!E96-Reference_Stats!$B$5)/Reference_Stats!$C$5</x:f>
        <x:v>1.4429676558649494</x:v>
      </x:c>
      <x:c r="L96" t="n">
        <x:f>(Adimensional_A!F96-Reference_Stats!$B$6)/Reference_Stats!$C$6</x:f>
        <x:v>1.3579546732290881</x:v>
      </x:c>
      <x:c r="M96" t="n">
        <x:f>(Adimensional_A!G96-Reference_Stats!$B$7)/Reference_Stats!$C$7</x:f>
        <x:v>1.0004217467265473</x:v>
      </x:c>
      <x:c r="N96" t="str">
        <x:f>Adimensional_A!I96</x:f>
        <x:v>γ≈1.30</x:v>
      </x:c>
      <x:c r="O96" t="str">
        <x:f>Adimensional_A!J96</x:f>
        <x:v>Train</x:v>
      </x:c>
    </x:row>
    <x:row r="97">
      <x:c r="A97" t="n">
        <x:f>Adimensional_A!A97</x:f>
        <x:v>95</x:v>
      </x:c>
      <x:c r="B97" t="n">
        <x:f>Adimensional_A!B97</x:f>
        <x:v>6.04</x:v>
      </x:c>
      <x:c r="C97" t="n">
        <x:f>Adimensional_A!C97</x:f>
        <x:v>1.2685744289839875</x:v>
      </x:c>
      <x:c r="D97" t="n">
        <x:f>Adimensional_A!D97</x:f>
        <x:v>1.349</x:v>
      </x:c>
      <x:c r="E97" t="n">
        <x:f>(Adimensional_A!B97-Reference_Stats!$B$2)/Reference_Stats!$C$2</x:f>
        <x:v>0.007189404851650422</x:v>
      </x:c>
      <x:c r="F97" t="n">
        <x:f>(Adimensional_A!C97-Reference_Stats!$B$3)/Reference_Stats!$C$3</x:f>
        <x:v>1.0045258774698806</x:v>
      </x:c>
      <x:c r="G97" t="n">
        <x:f>(Adimensional_A!D97-Reference_Stats!$B$4)/Reference_Stats!$C$4</x:f>
        <x:v>0.12778562444501831</x:v>
      </x:c>
      <x:c r="H97" t="n">
        <x:f>Adimensional_A!E97</x:f>
        <x:v>6.96875</x:v>
      </x:c>
      <x:c r="I97" t="n">
        <x:f>Adimensional_A!F97</x:f>
        <x:v>2.8125</x:v>
      </x:c>
      <x:c r="J97" t="n">
        <x:f>Adimensional_A!G97</x:f>
        <x:v>24.375</x:v>
      </x:c>
      <x:c r="K97" t="n">
        <x:f>(Adimensional_A!E97-Reference_Stats!$B$5)/Reference_Stats!$C$5</x:f>
        <x:v>-0.18719909017426017</x:v>
      </x:c>
      <x:c r="L97" t="n">
        <x:f>(Adimensional_A!F97-Reference_Stats!$B$6)/Reference_Stats!$C$6</x:f>
        <x:v>-0.16526768844832507</x:v>
      </x:c>
      <x:c r="M97" t="n">
        <x:f>(Adimensional_A!G97-Reference_Stats!$B$7)/Reference_Stats!$C$7</x:f>
        <x:v>-0.24182597427389657</x:v>
      </x:c>
      <x:c r="N97" t="str">
        <x:f>Adimensional_A!I97</x:f>
        <x:v>γ≈1.30</x:v>
      </x:c>
      <x:c r="O97" t="str">
        <x:f>Adimensional_A!J97</x:f>
        <x:v>Train</x:v>
      </x:c>
    </x:row>
    <x:row r="98">
      <x:c r="A98" t="n">
        <x:f>Adimensional_A!A98</x:f>
        <x:v>96</x:v>
      </x:c>
      <x:c r="B98" t="n">
        <x:f>Adimensional_A!B98</x:f>
        <x:v>7.93</x:v>
      </x:c>
      <x:c r="C98" t="n">
        <x:f>Adimensional_A!C98</x:f>
        <x:v>0.9514308217379907</x:v>
      </x:c>
      <x:c r="D98" t="n">
        <x:f>Adimensional_A!D98</x:f>
        <x:v>1.349</x:v>
      </x:c>
      <x:c r="E98" t="n">
        <x:f>(Adimensional_A!B98-Reference_Stats!$B$2)/Reference_Stats!$C$2</x:f>
        <x:v>1.0702900528373325</x:v>
      </x:c>
      <x:c r="F98" t="n">
        <x:f>(Adimensional_A!C98-Reference_Stats!$B$3)/Reference_Stats!$C$3</x:f>
        <x:v>-0.18165912740168916</x:v>
      </x:c>
      <x:c r="G98" t="n">
        <x:f>(Adimensional_A!D98-Reference_Stats!$B$4)/Reference_Stats!$C$4</x:f>
        <x:v>0.12778562444501831</x:v>
      </x:c>
      <x:c r="H98" t="n">
        <x:f>Adimensional_A!E98</x:f>
        <x:v>10.083333333333334</x:v>
      </x:c>
      <x:c r="I98" t="n">
        <x:f>Adimensional_A!F98</x:f>
        <x:v>4.166666666666667</x:v>
      </x:c>
      <x:c r="J98" t="n">
        <x:f>Adimensional_A!G98</x:f>
        <x:v>35.833333333333336</x:v>
      </x:c>
      <x:c r="K98" t="n">
        <x:f>(Adimensional_A!E98-Reference_Stats!$B$5)/Reference_Stats!$C$5</x:f>
        <x:v>1.072283744620891</x:v>
      </x:c>
      <x:c r="L98" t="n">
        <x:f>(Adimensional_A!F98-Reference_Stats!$B$6)/Reference_Stats!$C$6</x:f>
        <x:v>0.881728831417299</x:v>
      </x:c>
      <x:c r="M98" t="n">
        <x:f>(Adimensional_A!G98-Reference_Stats!$B$7)/Reference_Stats!$C$7</x:f>
        <x:v>0.7228415315981488</x:v>
      </x:c>
      <x:c r="N98" t="str">
        <x:f>Adimensional_A!I98</x:f>
        <x:v>γ≈1.30</x:v>
      </x:c>
      <x:c r="O98" t="str">
        <x:f>Adimensional_A!J98</x:f>
        <x:v>Train</x:v>
      </x:c>
    </x:row>
    <x:row r="99">
      <x:c r="A99" t="n">
        <x:f>Adimensional_A!A99</x:f>
        <x:v>97</x:v>
      </x:c>
      <x:c r="B99" t="n">
        <x:f>Adimensional_A!B99</x:f>
        <x:v>2.94</x:v>
      </x:c>
      <x:c r="C99" t="n">
        <x:f>Adimensional_A!C99</x:f>
        <x:v>1.110002625360989</x:v>
      </x:c>
      <x:c r="D99" t="n">
        <x:f>Adimensional_A!D99</x:f>
        <x:v>1.351</x:v>
      </x:c>
      <x:c r="E99" t="n">
        <x:f>(Adimensional_A!B99-Reference_Stats!$B$2)/Reference_Stats!$C$2</x:f>
        <x:v>-1.736520652691003</x:v>
      </x:c>
      <x:c r="F99" t="n">
        <x:f>(Adimensional_A!C99-Reference_Stats!$B$3)/Reference_Stats!$C$3</x:f>
        <x:v>0.41143337503409516</x:v>
      </x:c>
      <x:c r="G99" t="n">
        <x:f>(Adimensional_A!D99-Reference_Stats!$B$4)/Reference_Stats!$C$4</x:f>
        <x:v>0.13427700519899563</x:v>
      </x:c>
      <x:c r="H99" t="n">
        <x:f>Adimensional_A!E99</x:f>
        <x:v>3.4642857142857144</x:v>
      </x:c>
      <x:c r="I99" t="n">
        <x:f>Adimensional_A!F99</x:f>
        <x:v>1.0714285714285714</x:v>
      </x:c>
      <x:c r="J99" t="n">
        <x:f>Adimensional_A!G99</x:f>
        <x:v>8.392857142857144</x:v>
      </x:c>
      <x:c r="K99" t="n">
        <x:f>(Adimensional_A!E99-Reference_Stats!$B$5)/Reference_Stats!$C$5</x:f>
        <x:v>-1.604342939167371</x:v>
      </x:c>
      <x:c r="L99" t="n">
        <x:f>(Adimensional_A!F99-Reference_Stats!$B$6)/Reference_Stats!$C$6</x:f>
        <x:v>-1.5114060711326986</x:v>
      </x:c>
      <x:c r="M99" t="n">
        <x:f>(Adimensional_A!G99-Reference_Stats!$B$7)/Reference_Stats!$C$7</x:f>
        <x:v>-1.5873492227239958</x:v>
      </x:c>
      <x:c r="N99" t="str">
        <x:f>Adimensional_A!I99</x:f>
        <x:v>γ≈1.30</x:v>
      </x:c>
      <x:c r="O99" t="str">
        <x:f>Adimensional_A!J99</x:f>
        <x:v>Train</x:v>
      </x:c>
    </x:row>
    <x:row r="100">
      <x:c r="A100" t="n">
        <x:f>Adimensional_A!A100</x:f>
        <x:v>98</x:v>
      </x:c>
      <x:c r="B100" t="n">
        <x:f>Adimensional_A!B100</x:f>
        <x:v>4.83</x:v>
      </x:c>
      <x:c r="C100" t="n">
        <x:f>Adimensional_A!C100</x:f>
        <x:v>0.9514308217379907</x:v>
      </x:c>
      <x:c r="D100" t="n">
        <x:f>Adimensional_A!D100</x:f>
        <x:v>1.352</x:v>
      </x:c>
      <x:c r="E100" t="n">
        <x:f>(Adimensional_A!B100-Reference_Stats!$B$2)/Reference_Stats!$C$2</x:f>
        <x:v>-0.6734200047053208</x:v>
      </x:c>
      <x:c r="F100" t="n">
        <x:f>(Adimensional_A!C100-Reference_Stats!$B$3)/Reference_Stats!$C$3</x:f>
        <x:v>-0.18165912740168916</x:v>
      </x:c>
      <x:c r="G100" t="n">
        <x:f>(Adimensional_A!D100-Reference_Stats!$B$4)/Reference_Stats!$C$4</x:f>
        <x:v>0.13752269557598465</x:v>
      </x:c>
      <x:c r="H100" t="n">
        <x:f>Adimensional_A!E100</x:f>
        <x:v>5.916666666666667</x:v>
      </x:c>
      <x:c r="I100" t="n">
        <x:f>Adimensional_A!F100</x:f>
        <x:v>2.0833333333333335</x:v>
      </x:c>
      <x:c r="J100" t="n">
        <x:f>Adimensional_A!G100</x:f>
        <x:v>19.166666666666668</x:v>
      </x:c>
      <x:c r="K100" t="n">
        <x:f>(Adimensional_A!E100-Reference_Stats!$B$5)/Reference_Stats!$C$5</x:f>
        <x:v>-0.612643124670281</x:v>
      </x:c>
      <x:c r="L100" t="n">
        <x:f>(Adimensional_A!F100-Reference_Stats!$B$6)/Reference_Stats!$C$6</x:f>
        <x:v>-0.7290350452990455</x:v>
      </x:c>
      <x:c r="M100" t="n">
        <x:f>(Adimensional_A!G100-Reference_Stats!$B$7)/Reference_Stats!$C$7</x:f>
        <x:v>-0.6803112042157352</x:v>
      </x:c>
      <x:c r="N100" t="str">
        <x:f>Adimensional_A!I100</x:f>
        <x:v>γ≈1.30</x:v>
      </x:c>
      <x:c r="O100" t="str">
        <x:f>Adimensional_A!J100</x:f>
        <x:v>Train</x:v>
      </x:c>
    </x:row>
    <x:row r="101">
      <x:c r="A101" t="n">
        <x:f>Adimensional_A!A101</x:f>
        <x:v>99</x:v>
      </x:c>
      <x:c r="B101" t="n">
        <x:f>Adimensional_A!B101</x:f>
        <x:v>3.56</x:v>
      </x:c>
      <x:c r="C101" t="n">
        <x:f>Adimensional_A!C101</x:f>
        <x:v>1.7839327907587326</x:v>
      </x:c>
      <x:c r="D101" t="n">
        <x:f>Adimensional_A!D101</x:f>
        <x:v>1.361</x:v>
      </x:c>
      <x:c r="E101" t="n">
        <x:f>(Adimensional_A!B101-Reference_Stats!$B$2)/Reference_Stats!$C$2</x:f>
        <x:v>-1.3877786411824724</x:v>
      </x:c>
      <x:c r="F101" t="n">
        <x:f>(Adimensional_A!C101-Reference_Stats!$B$3)/Reference_Stats!$C$3</x:f>
        <x:v>2.932076510386182</x:v>
      </x:c>
      <x:c r="G101" t="n">
        <x:f>(Adimensional_A!D101-Reference_Stats!$B$4)/Reference_Stats!$C$4</x:f>
        <x:v>0.16673390896888218</x:v>
      </x:c>
      <x:c r="H101" t="n">
        <x:f>Adimensional_A!E101</x:f>
        <x:v>4</x:v>
      </x:c>
      <x:c r="I101" t="n">
        <x:f>Adimensional_A!F101</x:f>
        <x:v>1.3333333333333333</x:v>
      </x:c>
      <x:c r="J101" t="n">
        <x:f>Adimensional_A!G101</x:f>
        <x:v>11.555555555555555</x:v>
      </x:c>
      <x:c r="K101" t="n">
        <x:f>(Adimensional_A!E101-Reference_Stats!$B$5)/Reference_Stats!$C$5</x:f>
        <x:v>-1.3877094845442202</x:v>
      </x:c>
      <x:c r="L101" t="n">
        <x:f>(Adimensional_A!F101-Reference_Stats!$B$6)/Reference_Stats!$C$6</x:f>
        <x:v>-1.3089100409169296</x:v>
      </x:c>
      <x:c r="M101" t="n">
        <x:f>(Adimensional_A!G101-Reference_Stats!$B$7)/Reference_Stats!$C$7</x:f>
        <x:v>-1.3210842869040755</x:v>
      </x:c>
      <x:c r="N101" t="str">
        <x:f>Adimensional_A!I101</x:f>
        <x:v>γ≈1.30</x:v>
      </x:c>
      <x:c r="O101" t="str">
        <x:f>Adimensional_A!J101</x:f>
        <x:v>Train</x:v>
      </x:c>
    </x:row>
    <x:row r="102">
      <x:c r="A102" t="n">
        <x:f>Adimensional_A!A102</x:f>
        <x:v>100</x:v>
      </x:c>
      <x:c r="B102" t="n">
        <x:f>Adimensional_A!B102</x:f>
        <x:v>3.75</x:v>
      </x:c>
      <x:c r="C102" t="n">
        <x:f>Adimensional_A!C102</x:f>
        <x:v>1.3478603307954866</x:v>
      </x:c>
      <x:c r="D102" t="n">
        <x:f>Adimensional_A!D102</x:f>
        <x:v>1.371</x:v>
      </x:c>
      <x:c r="E102" t="n">
        <x:f>(Adimensional_A!B102-Reference_Stats!$B$2)/Reference_Stats!$C$2</x:f>
        <x:v>-1.280906089268568</x:v>
      </x:c>
      <x:c r="F102" t="n">
        <x:f>(Adimensional_A!C102-Reference_Stats!$B$3)/Reference_Stats!$C$3</x:f>
        <x:v>1.3010721286877727</x:v>
      </x:c>
      <x:c r="G102" t="n">
        <x:f>(Adimensional_A!D102-Reference_Stats!$B$4)/Reference_Stats!$C$4</x:f>
        <x:v>0.1991908127387687</x:v>
      </x:c>
      <x:c r="H102" t="n">
        <x:f>Adimensional_A!E102</x:f>
        <x:v>4.352941176470589</x:v>
      </x:c>
      <x:c r="I102" t="n">
        <x:f>Adimensional_A!F102</x:f>
        <x:v>1.4705882352941178</x:v>
      </x:c>
      <x:c r="J102" t="n">
        <x:f>Adimensional_A!G102</x:f>
        <x:v>12.5</x:v>
      </x:c>
      <x:c r="K102" t="n">
        <x:f>(Adimensional_A!E102-Reference_Stats!$B$5)/Reference_Stats!$C$5</x:f>
        <x:v>-1.2449862673807326</x:v>
      </x:c>
      <x:c r="L102" t="n">
        <x:f>(Adimensional_A!F102-Reference_Stats!$B$6)/Reference_Stats!$C$6</x:f>
        <x:v>-1.2027891266862056</x:v>
      </x:c>
      <x:c r="M102" t="n">
        <x:f>(Adimensional_A!G102-Reference_Stats!$B$7)/Reference_Stats!$C$7</x:f>
        <x:v>-1.241572298541289</x:v>
      </x:c>
      <x:c r="N102" t="str">
        <x:f>Adimensional_A!I102</x:f>
        <x:v>γ≈1.30</x:v>
      </x:c>
      <x:c r="O102" t="str">
        <x:f>Adimensional_A!J102</x:f>
        <x:v>Train</x:v>
      </x:c>
    </x:row>
    <x:row r="103">
      <x:c r="A103" t="n">
        <x:f>Adimensional_A!A103</x:f>
        <x:v>101</x:v>
      </x:c>
      <x:c r="B103" t="n">
        <x:f>Adimensional_A!B103</x:f>
        <x:v>4.48</x:v>
      </x:c>
      <x:c r="C103" t="n">
        <x:f>Adimensional_A!C103</x:f>
        <x:v>0.6342872144919938</x:v>
      </x:c>
      <x:c r="D103" t="n">
        <x:f>Adimensional_A!D103</x:f>
        <x:v>1.376</x:v>
      </x:c>
      <x:c r="E103" t="n">
        <x:f>(Adimensional_A!B103-Reference_Stats!$B$2)/Reference_Stats!$C$2</x:f>
        <x:v>-0.8702904950730396</x:v>
      </x:c>
      <x:c r="F103" t="n">
        <x:f>(Adimensional_A!C103-Reference_Stats!$B$3)/Reference_Stats!$C$3</x:f>
        <x:v>-1.367844132273259</x:v>
      </x:c>
      <x:c r="G103" t="n">
        <x:f>(Adimensional_A!D103-Reference_Stats!$B$4)/Reference_Stats!$C$4</x:f>
        <x:v>0.2154192646237116</x:v>
      </x:c>
      <x:c r="H103" t="n">
        <x:f>Adimensional_A!E103</x:f>
        <x:v>5.1875</x:v>
      </x:c>
      <x:c r="I103" t="n">
        <x:f>Adimensional_A!F103</x:f>
        <x:v>1.875</x:v>
      </x:c>
      <x:c r="J103" t="n">
        <x:f>Adimensional_A!G103</x:f>
        <x:v>16.875</x:v>
      </x:c>
      <x:c r="K103" t="n">
        <x:f>(Adimensional_A!E103-Reference_Stats!$B$5)/Reference_Stats!$C$5</x:f>
        <x:v>-0.9075053267962362</x:v>
      </x:c>
      <x:c r="L103" t="n">
        <x:f>(Adimensional_A!F103-Reference_Stats!$B$6)/Reference_Stats!$C$6</x:f>
        <x:v>-0.8901114329706801</x:v>
      </x:c>
      <x:c r="M103" t="n">
        <x:f>(Adimensional_A!G103-Reference_Stats!$B$7)/Reference_Stats!$C$7</x:f>
        <x:v>-0.8732447053901443</x:v>
      </x:c>
      <x:c r="N103" t="str">
        <x:f>Adimensional_A!I103</x:f>
        <x:v>γ≈1.45</x:v>
      </x:c>
      <x:c r="O103" t="str">
        <x:f>Adimensional_A!J103</x:f>
        <x:v>Train</x:v>
      </x:c>
    </x:row>
    <x:row r="104">
      <x:c r="A104" t="n">
        <x:f>Adimensional_A!A104</x:f>
        <x:v>102</x:v>
      </x:c>
      <x:c r="B104" t="n">
        <x:f>Adimensional_A!B104</x:f>
        <x:v>5.23</x:v>
      </x:c>
      <x:c r="C104" t="n">
        <x:f>Adimensional_A!C104</x:f>
        <x:v>1.3478603307954866</x:v>
      </x:c>
      <x:c r="D104" t="n">
        <x:f>Adimensional_A!D104</x:f>
        <x:v>1.38</x:v>
      </x:c>
      <x:c r="E104" t="n">
        <x:f>(Adimensional_A!B104-Reference_Stats!$B$2)/Reference_Stats!$C$2</x:f>
        <x:v>-0.44842515857078463</x:v>
      </x:c>
      <x:c r="F104" t="n">
        <x:f>(Adimensional_A!C104-Reference_Stats!$B$3)/Reference_Stats!$C$3</x:f>
        <x:v>1.3010721286877727</x:v>
      </x:c>
      <x:c r="G104" t="n">
        <x:f>(Adimensional_A!D104-Reference_Stats!$B$4)/Reference_Stats!$C$4</x:f>
        <x:v>0.2284020261316662</x:v>
      </x:c>
      <x:c r="H104" t="n">
        <x:f>Adimensional_A!E104</x:f>
        <x:v>5.970588235294118</x:v>
      </x:c>
      <x:c r="I104" t="n">
        <x:f>Adimensional_A!F104</x:f>
        <x:v>2.3529411764705883</x:v>
      </x:c>
      <x:c r="J104" t="n">
        <x:f>Adimensional_A!G104</x:f>
        <x:v>20</x:v>
      </x:c>
      <x:c r="K104" t="n">
        <x:f>(Adimensional_A!E104-Reference_Stats!$B$5)/Reference_Stats!$C$5</x:f>
        <x:v>-0.5908381887147482</x:v>
      </x:c>
      <x:c r="L104" t="n">
        <x:f>(Adimensional_A!F104-Reference_Stats!$B$6)/Reference_Stats!$C$6</x:f>
        <x:v>-0.520583249488695</x:v>
      </x:c>
      <x:c r="M104" t="n">
        <x:f>(Adimensional_A!G104-Reference_Stats!$B$7)/Reference_Stats!$C$7</x:f>
        <x:v>-0.6101535674250411</x:v>
      </x:c>
      <x:c r="N104" t="str">
        <x:f>Adimensional_A!I104</x:f>
        <x:v>γ≈1.45</x:v>
      </x:c>
      <x:c r="O104" t="str">
        <x:f>Adimensional_A!J104</x:f>
        <x:v>Train</x:v>
      </x:c>
    </x:row>
    <x:row r="105">
      <x:c r="A105" t="n">
        <x:f>Adimensional_A!A105</x:f>
        <x:v>103</x:v>
      </x:c>
      <x:c r="B105" t="n">
        <x:f>Adimensional_A!B105</x:f>
        <x:v>6.75</x:v>
      </x:c>
      <x:c r="C105" t="n">
        <x:f>Adimensional_A!C105</x:f>
        <x:v>0.9910737726437403</x:v>
      </x:c>
      <x:c r="D105" t="n">
        <x:f>Adimensional_A!D105</x:f>
        <x:v>1.389</x:v>
      </x:c>
      <x:c r="E105" t="n">
        <x:f>(Adimensional_A!B105-Reference_Stats!$B$2)/Reference_Stats!$C$2</x:f>
        <x:v>0.4065552567404517</x:v>
      </x:c>
      <x:c r="F105" t="n">
        <x:f>(Adimensional_A!C105-Reference_Stats!$B$3)/Reference_Stats!$C$3</x:f>
        <x:v>-0.03338600179274276</x:v>
      </x:c>
      <x:c r="G105" t="n">
        <x:f>(Adimensional_A!D105-Reference_Stats!$B$4)/Reference_Stats!$C$4</x:f>
        <x:v>0.25761323952456444</x:v>
      </x:c>
      <x:c r="H105" t="n">
        <x:f>Adimensional_A!E105</x:f>
        <x:v>8.4</x:v>
      </x:c>
      <x:c r="I105" t="n">
        <x:f>Adimensional_A!F105</x:f>
        <x:v>3.2</x:v>
      </x:c>
      <x:c r="J105" t="n">
        <x:f>Adimensional_A!G105</x:f>
        <x:v>28.8</x:v>
      </x:c>
      <x:c r="K105" t="n">
        <x:f>(Adimensional_A!E105-Reference_Stats!$B$5)/Reference_Stats!$C$5</x:f>
        <x:v>0.39157328942725755</x:v>
      </x:c>
      <x:c r="L105" t="n">
        <x:f>(Adimensional_A!F105-Reference_Stats!$B$6)/Reference_Stats!$C$6</x:f>
        <x:v>0.13433439262091512</x:v>
      </x:c>
      <x:c r="M105" t="n">
        <x:f>(Adimensional_A!G105-Reference_Stats!$B$7)/Reference_Stats!$C$7</x:f>
        <x:v>0.13071107708468965</x:v>
      </x:c>
      <x:c r="N105" t="str">
        <x:f>Adimensional_A!I105</x:f>
        <x:v>γ≈1.45</x:v>
      </x:c>
      <x:c r="O105" t="str">
        <x:f>Adimensional_A!J105</x:f>
        <x:v>Test</x:v>
      </x:c>
    </x:row>
    <x:row r="106">
      <x:c r="A106" t="n">
        <x:f>Adimensional_A!A106</x:f>
        <x:v>104</x:v>
      </x:c>
      <x:c r="B106" t="n">
        <x:f>Adimensional_A!B106</x:f>
        <x:v>5.84</x:v>
      </x:c>
      <x:c r="C106" t="n">
        <x:f>Adimensional_A!C106</x:f>
        <x:v>0.9910737726437403</x:v>
      </x:c>
      <x:c r="D106" t="n">
        <x:f>Adimensional_A!D106</x:f>
        <x:v>1.392</x:v>
      </x:c>
      <x:c r="E106" t="n">
        <x:f>(Adimensional_A!B106-Reference_Stats!$B$2)/Reference_Stats!$C$2</x:f>
        <x:v>-0.10530801821561765</x:v>
      </x:c>
      <x:c r="F106" t="n">
        <x:f>(Adimensional_A!C106-Reference_Stats!$B$3)/Reference_Stats!$C$3</x:f>
        <x:v>-0.03338600179274276</x:v>
      </x:c>
      <x:c r="G106" t="n">
        <x:f>(Adimensional_A!D106-Reference_Stats!$B$4)/Reference_Stats!$C$4</x:f>
        <x:v>0.26735031065553005</x:v>
      </x:c>
      <x:c r="H106" t="n">
        <x:f>Adimensional_A!E106</x:f>
        <x:v>7.279999999999999</x:v>
      </x:c>
      <x:c r="I106" t="n">
        <x:f>Adimensional_A!F106</x:f>
        <x:v>2.8</x:v>
      </x:c>
      <x:c r="J106" t="n">
        <x:f>Adimensional_A!G106</x:f>
        <x:v>24</x:v>
      </x:c>
      <x:c r="K106" t="n">
        <x:f>(Adimensional_A!E106-Reference_Stats!$B$5)/Reference_Stats!$C$5</x:f>
        <x:v>-0.0613350530382099</x:v>
      </x:c>
      <x:c r="L106" t="n">
        <x:f>(Adimensional_A!F106-Reference_Stats!$B$6)/Reference_Stats!$C$6</x:f>
        <x:v>-0.17493227170862327</x:v>
      </x:c>
      <x:c r="M106" t="n">
        <x:f>(Adimensional_A!G106-Reference_Stats!$B$7)/Reference_Stats!$C$7</x:f>
        <x:v>-0.27339691082970896</x:v>
      </x:c>
      <x:c r="N106" t="str">
        <x:f>Adimensional_A!I106</x:f>
        <x:v>γ≈1.45</x:v>
      </x:c>
      <x:c r="O106" t="str">
        <x:f>Adimensional_A!J106</x:f>
        <x:v>Train</x:v>
      </x:c>
    </x:row>
    <x:row r="107">
      <x:c r="A107" t="n">
        <x:f>Adimensional_A!A107</x:f>
        <x:v>105</x:v>
      </x:c>
      <x:c r="B107" t="n">
        <x:f>Adimensional_A!B107</x:f>
        <x:v>4.8</x:v>
      </x:c>
      <x:c r="C107" t="n">
        <x:f>Adimensional_A!C107</x:f>
        <x:v>1.3478603307954866</x:v>
      </x:c>
      <x:c r="D107" t="n">
        <x:f>Adimensional_A!D107</x:f>
        <x:v>1.395</x:v>
      </x:c>
      <x:c r="E107" t="n">
        <x:f>(Adimensional_A!B107-Reference_Stats!$B$2)/Reference_Stats!$C$2</x:f>
        <x:v>-0.6902946181654112</x:v>
      </x:c>
      <x:c r="F107" t="n">
        <x:f>(Adimensional_A!C107-Reference_Stats!$B$3)/Reference_Stats!$C$3</x:f>
        <x:v>1.3010721286877727</x:v>
      </x:c>
      <x:c r="G107" t="n">
        <x:f>(Adimensional_A!D107-Reference_Stats!$B$4)/Reference_Stats!$C$4</x:f>
        <x:v>0.2770873817864964</x:v>
      </x:c>
      <x:c r="H107" t="n">
        <x:f>Adimensional_A!E107</x:f>
        <x:v>5.382352941176471</x:v>
      </x:c>
      <x:c r="I107" t="n">
        <x:f>Adimensional_A!F107</x:f>
        <x:v>2.058823529411765</x:v>
      </x:c>
      <x:c r="J107" t="n">
        <x:f>Adimensional_A!G107</x:f>
        <x:v>17.647058823529413</x:v>
      </x:c>
      <x:c r="K107" t="n">
        <x:f>(Adimensional_A!E107-Reference_Stats!$B$5)/Reference_Stats!$C$5</x:f>
        <x:v>-0.8287102173205606</x:v>
      </x:c>
      <x:c r="L107" t="n">
        <x:f>(Adimensional_A!F107-Reference_Stats!$B$6)/Reference_Stats!$C$6</x:f>
        <x:v>-0.7479852085545318</x:v>
      </x:c>
      <x:c r="M107" t="n">
        <x:f>(Adimensional_A!G107-Reference_Stats!$B$7)/Reference_Stats!$C$7</x:f>
        <x:v>-0.8082457183634717</x:v>
      </x:c>
      <x:c r="N107" t="str">
        <x:f>Adimensional_A!I107</x:f>
        <x:v>γ≈1.45</x:v>
      </x:c>
      <x:c r="O107" t="str">
        <x:f>Adimensional_A!J107</x:f>
        <x:v>Train</x:v>
      </x:c>
    </x:row>
    <x:row r="108">
      <x:c r="A108" t="n">
        <x:f>Adimensional_A!A108</x:f>
        <x:v>106</x:v>
      </x:c>
      <x:c r="B108" t="n">
        <x:f>Adimensional_A!B108</x:f>
        <x:v>7.29</x:v>
      </x:c>
      <x:c r="C108" t="n">
        <x:f>Adimensional_A!C108</x:f>
        <x:v>0.9514308217379907</x:v>
      </x:c>
      <x:c r="D108" t="n">
        <x:f>Adimensional_A!D108</x:f>
        <x:v>1.404</x:v>
      </x:c>
      <x:c r="E108" t="n">
        <x:f>(Adimensional_A!B108-Reference_Stats!$B$2)/Reference_Stats!$C$2</x:f>
        <x:v>0.7102982990220752</x:v>
      </x:c>
      <x:c r="F108" t="n">
        <x:f>(Adimensional_A!C108-Reference_Stats!$B$3)/Reference_Stats!$C$3</x:f>
        <x:v>-0.18165912740168916</x:v>
      </x:c>
      <x:c r="G108" t="n">
        <x:f>(Adimensional_A!D108-Reference_Stats!$B$4)/Reference_Stats!$C$4</x:f>
        <x:v>0.3062985951793939</x:v>
      </x:c>
      <x:c r="H108" t="n">
        <x:f>Adimensional_A!E108</x:f>
        <x:v>9.000000000000002</x:v>
      </x:c>
      <x:c r="I108" t="n">
        <x:f>Adimensional_A!F108</x:f>
        <x:v>3.75</x:v>
      </x:c>
      <x:c r="J108" t="n">
        <x:f>Adimensional_A!G108</x:f>
        <x:v>31.25</x:v>
      </x:c>
      <x:c r="K108" t="n">
        <x:f>(Adimensional_A!E108-Reference_Stats!$B$5)/Reference_Stats!$C$5</x:f>
        <x:v>0.6342027586051868</x:v>
      </x:c>
      <x:c r="L108" t="n">
        <x:f>(Adimensional_A!F108-Reference_Stats!$B$6)/Reference_Stats!$C$6</x:f>
        <x:v>0.5595760560740299</x:v>
      </x:c>
      <x:c r="M108" t="n">
        <x:f>(Adimensional_A!G108-Reference_Stats!$B$7)/Reference_Stats!$C$7</x:f>
        <x:v>0.3369745292493305</x:v>
      </x:c>
      <x:c r="N108" t="str">
        <x:f>Adimensional_A!I108</x:f>
        <x:v>γ≈1.45</x:v>
      </x:c>
      <x:c r="O108" t="str">
        <x:f>Adimensional_A!J108</x:f>
        <x:v>Train</x:v>
      </x:c>
    </x:row>
    <x:row r="109">
      <x:c r="A109" t="n">
        <x:f>Adimensional_A!A109</x:f>
        <x:v>107</x:v>
      </x:c>
      <x:c r="B109" t="n">
        <x:f>Adimensional_A!B109</x:f>
        <x:v>9.01</x:v>
      </x:c>
      <x:c r="C109" t="n">
        <x:f>Adimensional_A!C109</x:f>
        <x:v>0.911787870832241</x:v>
      </x:c>
      <x:c r="D109" t="n">
        <x:f>Adimensional_A!D109</x:f>
        <x:v>1.421</x:v>
      </x:c>
      <x:c r="E109" t="n">
        <x:f>(Adimensional_A!B109-Reference_Stats!$B$2)/Reference_Stats!$C$2</x:f>
        <x:v>1.6777761374005797</x:v>
      </x:c>
      <x:c r="F109" t="n">
        <x:f>(Adimensional_A!C109-Reference_Stats!$B$3)/Reference_Stats!$C$3</x:f>
        <x:v>-0.32993225301063556</x:v>
      </x:c>
      <x:c r="G109" t="n">
        <x:f>(Adimensional_A!D109-Reference_Stats!$B$4)/Reference_Stats!$C$4</x:f>
        <x:v>0.3614753315882014</x:v>
      </x:c>
      <x:c r="H109" t="n">
        <x:f>Adimensional_A!E109</x:f>
        <x:v>11.608695652173914</x:v>
      </x:c>
      <x:c r="I109" t="n">
        <x:f>Adimensional_A!F109</x:f>
        <x:v>4.782608695652175</x:v>
      </x:c>
      <x:c r="J109" t="n">
        <x:f>Adimensional_A!G109</x:f>
        <x:v>39.130434782608695</x:v>
      </x:c>
      <x:c r="K109" t="n">
        <x:f>(Adimensional_A!E109-Reference_Stats!$B$5)/Reference_Stats!$C$5</x:f>
        <x:v>1.6891134941613986</x:v>
      </x:c>
      <x:c r="L109" t="n">
        <x:f>(Adimensional_A!F109-Reference_Stats!$B$6)/Reference_Stats!$C$6</x:f>
        <x:v>1.3579546732290881</x:v>
      </x:c>
      <x:c r="M109" t="n">
        <x:f>(Adimensional_A!G109-Reference_Stats!$B$7)/Reference_Stats!$C$7</x:f>
        <x:v>1.0004217467265473</x:v>
      </x:c>
      <x:c r="N109" t="str">
        <x:f>Adimensional_A!I109</x:f>
        <x:v>γ≈1.45</x:v>
      </x:c>
      <x:c r="O109" t="str">
        <x:f>Adimensional_A!J109</x:f>
        <x:v>Train</x:v>
      </x:c>
    </x:row>
    <x:row r="110">
      <x:c r="A110" t="n">
        <x:f>Adimensional_A!A110</x:f>
        <x:v>108</x:v>
      </x:c>
      <x:c r="B110" t="n">
        <x:f>Adimensional_A!B110</x:f>
        <x:v>8.17</x:v>
      </x:c>
      <x:c r="C110" t="n">
        <x:f>Adimensional_A!C110</x:f>
        <x:v>0.911787870832241</x:v>
      </x:c>
      <x:c r="D110" t="n">
        <x:f>Adimensional_A!D110</x:f>
        <x:v>1.435</x:v>
      </x:c>
      <x:c r="E110" t="n">
        <x:f>(Adimensional_A!B110-Reference_Stats!$B$2)/Reference_Stats!$C$2</x:f>
        <x:v>1.2052869605180543</x:v>
      </x:c>
      <x:c r="F110" t="n">
        <x:f>(Adimensional_A!C110-Reference_Stats!$B$3)/Reference_Stats!$C$3</x:f>
        <x:v>-0.32993225301063556</x:v>
      </x:c>
      <x:c r="G110" t="n">
        <x:f>(Adimensional_A!D110-Reference_Stats!$B$4)/Reference_Stats!$C$4</x:f>
        <x:v>0.40691499686604254</x:v>
      </x:c>
      <x:c r="H110" t="n">
        <x:f>Adimensional_A!E110</x:f>
        <x:v>10.434782608695652</x:v>
      </x:c>
      <x:c r="I110" t="n">
        <x:f>Adimensional_A!F110</x:f>
        <x:v>4.347826086956522</x:v>
      </x:c>
      <x:c r="J110" t="n">
        <x:f>Adimensional_A!G110</x:f>
        <x:v>34.78260869565218</x:v>
      </x:c>
      <x:c r="K110" t="n">
        <x:f>(Adimensional_A!E110-Reference_Stats!$B$5)/Reference_Stats!$C$5</x:f>
        <x:v>1.2144036631611028</x:v>
      </x:c>
      <x:c r="L110" t="n">
        <x:f>(Adimensional_A!F110-Reference_Stats!$B$6)/Reference_Stats!$C$6</x:f>
        <x:v>1.0217952554795902</x:v>
      </x:c>
      <x:c r="M110" t="n">
        <x:f>(Adimensional_A!G110-Reference_Stats!$B$7)/Reference_Stats!$C$7</x:f>
        <x:v>0.6343819026011868</x:v>
      </x:c>
      <x:c r="N110" t="str">
        <x:f>Adimensional_A!I110</x:f>
        <x:v>γ≈1.45</x:v>
      </x:c>
      <x:c r="O110" t="str">
        <x:f>Adimensional_A!J110</x:f>
        <x:v>Test</x:v>
      </x:c>
    </x:row>
    <x:row r="111">
      <x:c r="A111" t="n">
        <x:f>Adimensional_A!A111</x:f>
        <x:v>109</x:v>
      </x:c>
      <x:c r="B111" t="n">
        <x:f>Adimensional_A!B111</x:f>
        <x:v>8.85</x:v>
      </x:c>
      <x:c r="C111" t="n">
        <x:f>Adimensional_A!C111</x:f>
        <x:v>0.9514308217379907</x:v>
      </x:c>
      <x:c r="D111" t="n">
        <x:f>Adimensional_A!D111</x:f>
        <x:v>1.454</x:v>
      </x:c>
      <x:c r="E111" t="n">
        <x:f>(Adimensional_A!B111-Reference_Stats!$B$2)/Reference_Stats!$C$2</x:f>
        <x:v>1.5877781989467652</x:v>
      </x:c>
      <x:c r="F111" t="n">
        <x:f>(Adimensional_A!C111-Reference_Stats!$B$3)/Reference_Stats!$C$3</x:f>
        <x:v>-0.18165912740168916</x:v>
      </x:c>
      <x:c r="G111" t="n">
        <x:f>(Adimensional_A!D111-Reference_Stats!$B$4)/Reference_Stats!$C$4</x:f>
        <x:v>0.4685831140288266</x:v>
      </x:c>
      <x:c r="H111" t="n">
        <x:f>Adimensional_A!E111</x:f>
        <x:v>10.625</x:v>
      </x:c>
      <x:c r="I111" t="n">
        <x:f>Adimensional_A!F111</x:f>
        <x:v>4.583333333333334</x:v>
      </x:c>
      <x:c r="J111" t="n">
        <x:f>Adimensional_A!G111</x:f>
        <x:v>37.5</x:v>
      </x:c>
      <x:c r="K111" t="n">
        <x:f>(Adimensional_A!E111-Reference_Stats!$B$5)/Reference_Stats!$C$5</x:f>
        <x:v>1.2913242376287433</x:v>
      </x:c>
      <x:c r="L111" t="n">
        <x:f>(Adimensional_A!F111-Reference_Stats!$B$6)/Reference_Stats!$C$6</x:f>
        <x:v>1.203881606760568</x:v>
      </x:c>
      <x:c r="M111" t="n">
        <x:f>(Adimensional_A!G111-Reference_Stats!$B$7)/Reference_Stats!$C$7</x:f>
        <x:v>0.863156805179537</x:v>
      </x:c>
      <x:c r="N111" t="str">
        <x:f>Adimensional_A!I111</x:f>
        <x:v>γ≈1.45</x:v>
      </x:c>
      <x:c r="O111" t="str">
        <x:f>Adimensional_A!J111</x:f>
        <x:v>Train</x:v>
      </x:c>
    </x:row>
    <x:row r="112">
      <x:c r="A112" t="n">
        <x:f>Adimensional_A!A112</x:f>
        <x:v>110</x:v>
      </x:c>
      <x:c r="B112" t="n">
        <x:f>Adimensional_A!B112</x:f>
        <x:v>5.02</x:v>
      </x:c>
      <x:c r="C112" t="n">
        <x:f>Adimensional_A!C112</x:f>
        <x:v>0.9514308217379907</x:v>
      </x:c>
      <x:c r="D112" t="n">
        <x:f>Adimensional_A!D112</x:f>
        <x:v>1.459</x:v>
      </x:c>
      <x:c r="E112" t="n">
        <x:f>(Adimensional_A!B112-Reference_Stats!$B$2)/Reference_Stats!$C$2</x:f>
        <x:v>-0.5665474527914165</x:v>
      </x:c>
      <x:c r="F112" t="n">
        <x:f>(Adimensional_A!C112-Reference_Stats!$B$3)/Reference_Stats!$C$3</x:f>
        <x:v>-0.18165912740168916</x:v>
      </x:c>
      <x:c r="G112" t="n">
        <x:f>(Adimensional_A!D112-Reference_Stats!$B$4)/Reference_Stats!$C$4</x:f>
        <x:v>0.4848115659137702</x:v>
      </x:c>
      <x:c r="H112" t="n">
        <x:f>Adimensional_A!E112</x:f>
        <x:v>6.041666666666667</x:v>
      </x:c>
      <x:c r="I112" t="n">
        <x:f>Adimensional_A!F112</x:f>
        <x:v>2.0833333333333335</x:v>
      </x:c>
      <x:c r="J112" t="n">
        <x:f>Adimensional_A!G112</x:f>
        <x:v>18.75</x:v>
      </x:c>
      <x:c r="K112" t="n">
        <x:f>(Adimensional_A!E112-Reference_Stats!$B$5)/Reference_Stats!$C$5</x:f>
        <x:v>-0.5620953185915458</x:v>
      </x:c>
      <x:c r="L112" t="n">
        <x:f>(Adimensional_A!F112-Reference_Stats!$B$6)/Reference_Stats!$C$6</x:f>
        <x:v>-0.7290350452990455</x:v>
      </x:c>
      <x:c r="M112" t="n">
        <x:f>(Adimensional_A!G112-Reference_Stats!$B$7)/Reference_Stats!$C$7</x:f>
        <x:v>-0.7153900226110824</x:v>
      </x:c>
      <x:c r="N112" t="str">
        <x:f>Adimensional_A!I112</x:f>
        <x:v>γ≈1.45</x:v>
      </x:c>
      <x:c r="O112" t="str">
        <x:f>Adimensional_A!J112</x:f>
        <x:v>Train</x:v>
      </x:c>
    </x:row>
    <x:row r="113">
      <x:c r="A113" t="n">
        <x:f>Adimensional_A!A113</x:f>
        <x:v>111</x:v>
      </x:c>
      <x:c r="B113" t="n">
        <x:f>Adimensional_A!B113</x:f>
        <x:v>7.63</x:v>
      </x:c>
      <x:c r="C113" t="n">
        <x:f>Adimensional_A!C113</x:f>
        <x:v>0.9514308217379907</x:v>
      </x:c>
      <x:c r="D113" t="n">
        <x:f>Adimensional_A!D113</x:f>
        <x:v>1.461</x:v>
      </x:c>
      <x:c r="E113" t="n">
        <x:f>(Adimensional_A!B113-Reference_Stats!$B$2)/Reference_Stats!$C$2</x:f>
        <x:v>0.9015439182364308</x:v>
      </x:c>
      <x:c r="F113" t="n">
        <x:f>(Adimensional_A!C113-Reference_Stats!$B$3)/Reference_Stats!$C$3</x:f>
        <x:v>-0.18165912740168916</x:v>
      </x:c>
      <x:c r="G113" t="n">
        <x:f>(Adimensional_A!D113-Reference_Stats!$B$4)/Reference_Stats!$C$4</x:f>
        <x:v>0.49130294666774754</x:v>
      </x:c>
      <x:c r="H113" t="n">
        <x:f>Adimensional_A!E113</x:f>
        <x:v>9.583333333333334</x:v>
      </x:c>
      <x:c r="I113" t="n">
        <x:f>Adimensional_A!F113</x:f>
        <x:v>3.75</x:v>
      </x:c>
      <x:c r="J113" t="n">
        <x:f>Adimensional_A!G113</x:f>
        <x:v>31.666666666666668</x:v>
      </x:c>
      <x:c r="K113" t="n">
        <x:f>(Adimensional_A!E113-Reference_Stats!$B$5)/Reference_Stats!$C$5</x:f>
        <x:v>0.8700925203059504</x:v>
      </x:c>
      <x:c r="L113" t="n">
        <x:f>(Adimensional_A!F113-Reference_Stats!$B$6)/Reference_Stats!$C$6</x:f>
        <x:v>0.5595760560740299</x:v>
      </x:c>
      <x:c r="M113" t="n">
        <x:f>(Adimensional_A!G113-Reference_Stats!$B$7)/Reference_Stats!$C$7</x:f>
        <x:v>0.37205334764467773</x:v>
      </x:c>
      <x:c r="N113" t="str">
        <x:f>Adimensional_A!I113</x:f>
        <x:v>γ≈1.45</x:v>
      </x:c>
      <x:c r="O113" t="str">
        <x:f>Adimensional_A!J113</x:f>
        <x:v>Train</x:v>
      </x:c>
    </x:row>
    <x:row r="114">
      <x:c r="A114" t="n">
        <x:f>Adimensional_A!A114</x:f>
        <x:v>112</x:v>
      </x:c>
      <x:c r="B114" t="n">
        <x:f>Adimensional_A!B114</x:f>
        <x:v>7.05</x:v>
      </x:c>
      <x:c r="C114" t="n">
        <x:f>Adimensional_A!C114</x:f>
        <x:v>0.9910737726437403</x:v>
      </x:c>
      <x:c r="D114" t="n">
        <x:f>Adimensional_A!D114</x:f>
        <x:v>1.464</x:v>
      </x:c>
      <x:c r="E114" t="n">
        <x:f>(Adimensional_A!B114-Reference_Stats!$B$2)/Reference_Stats!$C$2</x:f>
        <x:v>0.5753013913413536</x:v>
      </x:c>
      <x:c r="F114" t="n">
        <x:f>(Adimensional_A!C114-Reference_Stats!$B$3)/Reference_Stats!$C$3</x:f>
        <x:v>-0.03338600179274276</x:v>
      </x:c>
      <x:c r="G114" t="n">
        <x:f>(Adimensional_A!D114-Reference_Stats!$B$4)/Reference_Stats!$C$4</x:f>
        <x:v>0.5010400177987131</x:v>
      </x:c>
      <x:c r="H114" t="n">
        <x:f>Adimensional_A!E114</x:f>
        <x:v>8.559999999999999</x:v>
      </x:c>
      <x:c r="I114" t="n">
        <x:f>Adimensional_A!F114</x:f>
        <x:v>3.2</x:v>
      </x:c>
      <x:c r="J114" t="n">
        <x:f>Adimensional_A!G114</x:f>
        <x:v>28.8</x:v>
      </x:c>
      <x:c r="K114" t="n">
        <x:f>(Adimensional_A!E114-Reference_Stats!$B$5)/Reference_Stats!$C$5</x:f>
        <x:v>0.4562744812080379</x:v>
      </x:c>
      <x:c r="L114" t="n">
        <x:f>(Adimensional_A!F114-Reference_Stats!$B$6)/Reference_Stats!$C$6</x:f>
        <x:v>0.13433439262091512</x:v>
      </x:c>
      <x:c r="M114" t="n">
        <x:f>(Adimensional_A!G114-Reference_Stats!$B$7)/Reference_Stats!$C$7</x:f>
        <x:v>0.13071107708468965</x:v>
      </x:c>
      <x:c r="N114" t="str">
        <x:f>Adimensional_A!I114</x:f>
        <x:v>γ≈1.45</x:v>
      </x:c>
      <x:c r="O114" t="str">
        <x:f>Adimensional_A!J114</x:f>
        <x:v>Train</x:v>
      </x:c>
    </x:row>
    <x:row r="115">
      <x:c r="A115" t="n">
        <x:f>Adimensional_A!A115</x:f>
        <x:v>113</x:v>
      </x:c>
      <x:c r="B115" t="n">
        <x:f>Adimensional_A!B115</x:f>
        <x:v>5.47</x:v>
      </x:c>
      <x:c r="C115" t="n">
        <x:f>Adimensional_A!C115</x:f>
        <x:v>0.9910737726437403</x:v>
      </x:c>
      <x:c r="D115" t="n">
        <x:f>Adimensional_A!D115</x:f>
        <x:v>1.477</x:v>
      </x:c>
      <x:c r="E115" t="n">
        <x:f>(Adimensional_A!B115-Reference_Stats!$B$2)/Reference_Stats!$C$2</x:f>
        <x:v>-0.31342825089006343</x:v>
      </x:c>
      <x:c r="F115" t="n">
        <x:f>(Adimensional_A!C115-Reference_Stats!$B$3)/Reference_Stats!$C$3</x:f>
        <x:v>-0.03338600179274276</x:v>
      </x:c>
      <x:c r="G115" t="n">
        <x:f>(Adimensional_A!D115-Reference_Stats!$B$4)/Reference_Stats!$C$4</x:f>
        <x:v>0.543233992699566</x:v>
      </x:c>
      <x:c r="H115" t="n">
        <x:f>Adimensional_A!E115</x:f>
        <x:v>6.44</x:v>
      </x:c>
      <x:c r="I115" t="n">
        <x:f>Adimensional_A!F115</x:f>
        <x:v>2.4</x:v>
      </x:c>
      <x:c r="J115" t="n">
        <x:f>Adimensional_A!G115</x:f>
        <x:v>20.8</x:v>
      </x:c>
      <x:c r="K115" t="n">
        <x:f>(Adimensional_A!E115-Reference_Stats!$B$5)/Reference_Stats!$C$5</x:f>
        <x:v>-0.40101630988730974</x:v>
      </x:c>
      <x:c r="L115" t="n">
        <x:f>(Adimensional_A!F115-Reference_Stats!$B$6)/Reference_Stats!$C$6</x:f>
        <x:v>-0.48419893603816133</x:v>
      </x:c>
      <x:c r="M115" t="n">
        <x:f>(Adimensional_A!G115-Reference_Stats!$B$7)/Reference_Stats!$C$7</x:f>
        <x:v>-0.5428022361059747</x:v>
      </x:c>
      <x:c r="N115" t="str">
        <x:f>Adimensional_A!I115</x:f>
        <x:v>γ≈1.45</x:v>
      </x:c>
      <x:c r="O115" t="str">
        <x:f>Adimensional_A!J115</x:f>
        <x:v>Train</x:v>
      </x:c>
    </x:row>
    <x:row r="116">
      <x:c r="A116" t="n">
        <x:f>Adimensional_A!A116</x:f>
        <x:v>114</x:v>
      </x:c>
      <x:c r="B116" t="n">
        <x:f>Adimensional_A!B116</x:f>
        <x:v>6.39</x:v>
      </x:c>
      <x:c r="C116" t="n">
        <x:f>Adimensional_A!C116</x:f>
        <x:v>0.9514308217379907</x:v>
      </x:c>
      <x:c r="D116" t="n">
        <x:f>Adimensional_A!D116</x:f>
        <x:v>1.498</x:v>
      </x:c>
      <x:c r="E116" t="n">
        <x:f>(Adimensional_A!B116-Reference_Stats!$B$2)/Reference_Stats!$C$2</x:f>
        <x:v>0.20405989521936918</x:v>
      </x:c>
      <x:c r="F116" t="n">
        <x:f>(Adimensional_A!C116-Reference_Stats!$B$3)/Reference_Stats!$C$3</x:f>
        <x:v>-0.18165912740168916</x:v>
      </x:c>
      <x:c r="G116" t="n">
        <x:f>(Adimensional_A!D116-Reference_Stats!$B$4)/Reference_Stats!$C$4</x:f>
        <x:v>0.6113934906163273</x:v>
      </x:c>
      <x:c r="H116" t="n">
        <x:f>Adimensional_A!E116</x:f>
        <x:v>7.750000000000001</x:v>
      </x:c>
      <x:c r="I116" t="n">
        <x:f>Adimensional_A!F116</x:f>
        <x:v>2.916666666666667</x:v>
      </x:c>
      <x:c r="J116" t="n">
        <x:f>Adimensional_A!G116</x:f>
        <x:v>25</x:v>
      </x:c>
      <x:c r="K116" t="n">
        <x:f>(Adimensional_A!E116-Reference_Stats!$B$5)/Reference_Stats!$C$5</x:f>
        <x:v>0.1287246978178349</x:v>
      </x:c>
      <x:c r="L116" t="n">
        <x:f>(Adimensional_A!F116-Reference_Stats!$B$6)/Reference_Stats!$C$6</x:f>
        <x:v>-0.08472949461250763</x:v>
      </x:c>
      <x:c r="M116" t="n">
        <x:f>(Adimensional_A!G116-Reference_Stats!$B$7)/Reference_Stats!$C$7</x:f>
        <x:v>-0.18920774668087592</x:v>
      </x:c>
      <x:c r="N116" t="str">
        <x:f>Adimensional_A!I116</x:f>
        <x:v>γ≈1.45</x:v>
      </x:c>
      <x:c r="O116" t="str">
        <x:f>Adimensional_A!J116</x:f>
        <x:v>Train</x:v>
      </x:c>
    </x:row>
    <x:row r="117">
      <x:c r="A117" t="n">
        <x:f>Adimensional_A!A117</x:f>
        <x:v>115</x:v>
      </x:c>
      <x:c r="B117" t="n">
        <x:f>Adimensional_A!B117</x:f>
        <x:v>7.85</x:v>
      </x:c>
      <x:c r="C117" t="n">
        <x:f>Adimensional_A!C117</x:f>
        <x:v>0.9514308217379907</x:v>
      </x:c>
      <x:c r="D117" t="n">
        <x:f>Adimensional_A!D117</x:f>
        <x:v>1.509</x:v>
      </x:c>
      <x:c r="E117" t="n">
        <x:f>(Adimensional_A!B117-Reference_Stats!$B$2)/Reference_Stats!$C$2</x:f>
        <x:v>1.0252910836104254</x:v>
      </x:c>
      <x:c r="F117" t="n">
        <x:f>(Adimensional_A!C117-Reference_Stats!$B$3)/Reference_Stats!$C$3</x:f>
        <x:v>-0.18165912740168916</x:v>
      </x:c>
      <x:c r="G117" t="n">
        <x:f>(Adimensional_A!D117-Reference_Stats!$B$4)/Reference_Stats!$C$4</x:f>
        <x:v>0.6470960847632021</x:v>
      </x:c>
      <x:c r="H117" t="n">
        <x:f>Adimensional_A!E117</x:f>
        <x:v>9.875</x:v>
      </x:c>
      <x:c r="I117" t="n">
        <x:f>Adimensional_A!F117</x:f>
        <x:v>3.75</x:v>
      </x:c>
      <x:c r="J117" t="n">
        <x:f>Adimensional_A!G117</x:f>
        <x:v>31.666666666666668</x:v>
      </x:c>
      <x:c r="K117" t="n">
        <x:f>(Adimensional_A!E117-Reference_Stats!$B$5)/Reference_Stats!$C$5</x:f>
        <x:v>0.9880374011563323</x:v>
      </x:c>
      <x:c r="L117" t="n">
        <x:f>(Adimensional_A!F117-Reference_Stats!$B$6)/Reference_Stats!$C$6</x:f>
        <x:v>0.5595760560740299</x:v>
      </x:c>
      <x:c r="M117" t="n">
        <x:f>(Adimensional_A!G117-Reference_Stats!$B$7)/Reference_Stats!$C$7</x:f>
        <x:v>0.37205334764467773</x:v>
      </x:c>
      <x:c r="N117" t="str">
        <x:f>Adimensional_A!I117</x:f>
        <x:v>γ≈1.45</x:v>
      </x:c>
      <x:c r="O117" t="str">
        <x:f>Adimensional_A!J117</x:f>
        <x:v>Test</x:v>
      </x:c>
    </x:row>
    <x:row r="118">
      <x:c r="A118" t="n">
        <x:f>Adimensional_A!A118</x:f>
        <x:v>116</x:v>
      </x:c>
      <x:c r="B118" t="n">
        <x:f>Adimensional_A!B118</x:f>
        <x:v>8.43</x:v>
      </x:c>
      <x:c r="C118" t="n">
        <x:f>Adimensional_A!C118</x:f>
        <x:v>0.9514308217379907</x:v>
      </x:c>
      <x:c r="D118" t="n">
        <x:f>Adimensional_A!D118</x:f>
        <x:v>1.513</x:v>
      </x:c>
      <x:c r="E118" t="n">
        <x:f>(Adimensional_A!B118-Reference_Stats!$B$2)/Reference_Stats!$C$2</x:f>
        <x:v>1.3515336105055025</x:v>
      </x:c>
      <x:c r="F118" t="n">
        <x:f>(Adimensional_A!C118-Reference_Stats!$B$3)/Reference_Stats!$C$3</x:f>
        <x:v>-0.18165912740168916</x:v>
      </x:c>
      <x:c r="G118" t="n">
        <x:f>(Adimensional_A!D118-Reference_Stats!$B$4)/Reference_Stats!$C$4</x:f>
        <x:v>0.6600788462711568</x:v>
      </x:c>
      <x:c r="H118" t="n">
        <x:f>Adimensional_A!E118</x:f>
        <x:v>10.541666666666668</x:v>
      </x:c>
      <x:c r="I118" t="n">
        <x:f>Adimensional_A!F118</x:f>
        <x:v>4.166666666666667</x:v>
      </x:c>
      <x:c r="J118" t="n">
        <x:f>Adimensional_A!G118</x:f>
        <x:v>34.16666666666667</x:v>
      </x:c>
      <x:c r="K118" t="n">
        <x:f>(Adimensional_A!E118-Reference_Stats!$B$5)/Reference_Stats!$C$5</x:f>
        <x:v>1.2576257002429203</x:v>
      </x:c>
      <x:c r="L118" t="n">
        <x:f>(Adimensional_A!F118-Reference_Stats!$B$6)/Reference_Stats!$C$6</x:f>
        <x:v>0.881728831417299</x:v>
      </x:c>
      <x:c r="M118" t="n">
        <x:f>(Adimensional_A!G118-Reference_Stats!$B$7)/Reference_Stats!$C$7</x:f>
        <x:v>0.5825262580167606</x:v>
      </x:c>
      <x:c r="N118" t="str">
        <x:f>Adimensional_A!I118</x:f>
        <x:v>γ≈1.45</x:v>
      </x:c>
      <x:c r="O118" t="str">
        <x:f>Adimensional_A!J118</x:f>
        <x:v>Train</x:v>
      </x:c>
    </x:row>
    <x:row r="119">
      <x:c r="A119" t="n">
        <x:f>Adimensional_A!A119</x:f>
        <x:v>117</x:v>
      </x:c>
      <x:c r="B119" t="n">
        <x:f>Adimensional_A!B119</x:f>
        <x:v>4.61</x:v>
      </x:c>
      <x:c r="C119" t="n">
        <x:f>Adimensional_A!C119</x:f>
        <x:v>1.0703596744552395</x:v>
      </x:c>
      <x:c r="D119" t="n">
        <x:f>Adimensional_A!D119</x:f>
        <x:v>1.523</x:v>
      </x:c>
      <x:c r="E119" t="n">
        <x:f>(Adimensional_A!B119-Reference_Stats!$B$2)/Reference_Stats!$C$2</x:f>
        <x:v>-0.7971671700793154</x:v>
      </x:c>
      <x:c r="F119" t="n">
        <x:f>(Adimensional_A!C119-Reference_Stats!$B$3)/Reference_Stats!$C$3</x:f>
        <x:v>0.2631602494251496</x:v>
      </x:c>
      <x:c r="G119" t="n">
        <x:f>(Adimensional_A!D119-Reference_Stats!$B$4)/Reference_Stats!$C$4</x:f>
        <x:v>0.6925357500410433</x:v>
      </x:c>
      <x:c r="H119" t="n">
        <x:f>Adimensional_A!E119</x:f>
        <x:v>4.814814814814815</x:v>
      </x:c>
      <x:c r="I119" t="n">
        <x:f>Adimensional_A!F119</x:f>
        <x:v>1.8518518518518516</x:v>
      </x:c>
      <x:c r="J119" t="n">
        <x:f>Adimensional_A!G119</x:f>
        <x:v>15.925925925925926</x:v>
      </x:c>
      <x:c r="K119" t="n">
        <x:f>(Adimensional_A!E119-Reference_Stats!$B$5)/Reference_Stats!$C$5</x:f>
        <x:v>-1.0582126745495022</x:v>
      </x:c>
      <x:c r="L119" t="n">
        <x:f>(Adimensional_A!F119-Reference_Stats!$B$6)/Reference_Stats!$C$6</x:f>
        <x:v>-0.9080088093786396</x:v>
      </x:c>
      <x:c r="M119" t="n">
        <x:f>(Adimensional_A!G119-Reference_Stats!$B$7)/Reference_Stats!$C$7</x:f>
        <x:v>-0.9531464584017683</x:v>
      </x:c>
      <x:c r="N119" t="str">
        <x:f>Adimensional_A!I119</x:f>
        <x:v>γ≈1.45</x:v>
      </x:c>
      <x:c r="O119" t="str">
        <x:f>Adimensional_A!J119</x:f>
        <x:v>Test</x:v>
      </x:c>
    </x:row>
    <x:row r="120">
      <x:c r="A120" t="n">
        <x:f>Adimensional_A!A120</x:f>
        <x:v>118</x:v>
      </x:c>
      <x:c r="B120" t="n">
        <x:f>Adimensional_A!B120</x:f>
        <x:v>6.33</x:v>
      </x:c>
      <x:c r="C120" t="n">
        <x:f>Adimensional_A!C120</x:f>
        <x:v>0.5946442635862441</x:v>
      </x:c>
      <x:c r="D120" t="n">
        <x:f>Adimensional_A!D120</x:f>
        <x:v>1.541</x:v>
      </x:c>
      <x:c r="E120" t="n">
        <x:f>(Adimensional_A!B120-Reference_Stats!$B$2)/Reference_Stats!$C$2</x:f>
        <x:v>0.170310668299189</x:v>
      </x:c>
      <x:c r="F120" t="n">
        <x:f>(Adimensional_A!C120-Reference_Stats!$B$3)/Reference_Stats!$C$3</x:f>
        <x:v>-1.5161172578822055</x:v>
      </x:c>
      <x:c r="G120" t="n">
        <x:f>(Adimensional_A!D120-Reference_Stats!$B$4)/Reference_Stats!$C$4</x:f>
        <x:v>0.7509581768268391</x:v>
      </x:c>
      <x:c r="H120" t="n">
        <x:f>Adimensional_A!E120</x:f>
        <x:v>7.666666666666667</x:v>
      </x:c>
      <x:c r="I120" t="n">
        <x:f>Adimensional_A!F120</x:f>
        <x:v>3.3333333333333335</x:v>
      </x:c>
      <x:c r="J120" t="n">
        <x:f>Adimensional_A!G120</x:f>
        <x:v>24</x:v>
      </x:c>
      <x:c r="K120" t="n">
        <x:f>(Adimensional_A!E120-Reference_Stats!$B$5)/Reference_Stats!$C$5</x:f>
        <x:v>0.09502616043201124</x:v>
      </x:c>
      <x:c r="L120" t="n">
        <x:f>(Adimensional_A!F120-Reference_Stats!$B$6)/Reference_Stats!$C$6</x:f>
        <x:v>0.23742328073076113</x:v>
      </x:c>
      <x:c r="M120" t="n">
        <x:f>(Adimensional_A!G120-Reference_Stats!$B$7)/Reference_Stats!$C$7</x:f>
        <x:v>-0.27339691082970896</x:v>
      </x:c>
      <x:c r="N120" t="str">
        <x:f>Adimensional_A!I120</x:f>
        <x:v>γ≈1.60</x:v>
      </x:c>
      <x:c r="O120" t="str">
        <x:f>Adimensional_A!J120</x:f>
        <x:v>Train</x:v>
      </x:c>
    </x:row>
    <x:row r="121">
      <x:c r="A121" t="n">
        <x:f>Adimensional_A!A121</x:f>
        <x:v>119</x:v>
      </x:c>
      <x:c r="B121" t="n">
        <x:f>Adimensional_A!B121</x:f>
        <x:v>5.87</x:v>
      </x:c>
      <x:c r="C121" t="n">
        <x:f>Adimensional_A!C121</x:f>
        <x:v>0.9514308217379907</x:v>
      </x:c>
      <x:c r="D121" t="n">
        <x:f>Adimensional_A!D121</x:f>
        <x:v>1.554</x:v>
      </x:c>
      <x:c r="E121" t="n">
        <x:f>(Adimensional_A!B121-Reference_Stats!$B$2)/Reference_Stats!$C$2</x:f>
        <x:v>-0.08843340475552731</x:v>
      </x:c>
      <x:c r="F121" t="n">
        <x:f>(Adimensional_A!C121-Reference_Stats!$B$3)/Reference_Stats!$C$3</x:f>
        <x:v>-0.18165912740168916</x:v>
      </x:c>
      <x:c r="G121" t="n">
        <x:f>(Adimensional_A!D121-Reference_Stats!$B$4)/Reference_Stats!$C$4</x:f>
        <x:v>0.7931521517276919</x:v>
      </x:c>
      <x:c r="H121" t="n">
        <x:f>Adimensional_A!E121</x:f>
        <x:v>7.041666666666666</x:v>
      </x:c>
      <x:c r="I121" t="n">
        <x:f>Adimensional_A!F121</x:f>
        <x:v>2.5</x:v>
      </x:c>
      <x:c r="J121" t="n">
        <x:f>Adimensional_A!G121</x:f>
        <x:v>21.666666666666668</x:v>
      </x:c>
      <x:c r="K121" t="n">
        <x:f>(Adimensional_A!E121-Reference_Stats!$B$5)/Reference_Stats!$C$5</x:f>
        <x:v>-0.15771286996166492</x:v>
      </x:c>
      <x:c r="L121" t="n">
        <x:f>(Adimensional_A!F121-Reference_Stats!$B$6)/Reference_Stats!$C$6</x:f>
        <x:v>-0.4068822699557767</x:v>
      </x:c>
      <x:c r="M121" t="n">
        <x:f>(Adimensional_A!G121-Reference_Stats!$B$7)/Reference_Stats!$C$7</x:f>
        <x:v>-0.4698382938436526</x:v>
      </x:c>
      <x:c r="N121" t="str">
        <x:f>Adimensional_A!I121</x:f>
        <x:v>γ≈1.60</x:v>
      </x:c>
      <x:c r="O121" t="str">
        <x:f>Adimensional_A!J121</x:f>
        <x:v>Train</x:v>
      </x:c>
    </x:row>
    <x:row r="122">
      <x:c r="A122" t="n">
        <x:f>Adimensional_A!A122</x:f>
        <x:v>120</x:v>
      </x:c>
      <x:c r="B122" t="n">
        <x:f>Adimensional_A!B122</x:f>
        <x:v>5.13</x:v>
      </x:c>
      <x:c r="C122" t="n">
        <x:f>Adimensional_A!C122</x:f>
        <x:v>1.0307167235494898</x:v>
      </x:c>
      <x:c r="D122" t="n">
        <x:f>Adimensional_A!D122</x:f>
        <x:v>1.557</x:v>
      </x:c>
      <x:c r="E122" t="n">
        <x:f>(Adimensional_A!B122-Reference_Stats!$B$2)/Reference_Stats!$C$2</x:f>
        <x:v>-0.5046738701044189</x:v>
      </x:c>
      <x:c r="F122" t="n">
        <x:f>(Adimensional_A!C122-Reference_Stats!$B$3)/Reference_Stats!$C$3</x:f>
        <x:v>0.11488712381620322</x:v>
      </x:c>
      <x:c r="G122" t="n">
        <x:f>(Adimensional_A!D122-Reference_Stats!$B$4)/Reference_Stats!$C$4</x:f>
        <x:v>0.8028892228586575</x:v>
      </x:c>
      <x:c r="H122" t="n">
        <x:f>Adimensional_A!E122</x:f>
        <x:v>5.615384615384615</x:v>
      </x:c>
      <x:c r="I122" t="n">
        <x:f>Adimensional_A!F122</x:f>
        <x:v>2.1153846153846154</x:v>
      </x:c>
      <x:c r="J122" t="n">
        <x:f>Adimensional_A!G122</x:f>
        <x:v>18.076923076923077</x:v>
      </x:c>
      <x:c r="K122" t="n">
        <x:f>(Adimensional_A!E122-Reference_Stats!$B$5)/Reference_Stats!$C$5</x:f>
        <x:v>-0.7344762982959506</x:v>
      </x:c>
      <x:c r="L122" t="n">
        <x:f>(Adimensional_A!F122-Reference_Stats!$B$6)/Reference_Stats!$C$6</x:f>
        <x:v>-0.7042540625803326</x:v>
      </x:c>
      <x:c r="M122" t="n">
        <x:f>(Adimensional_A!G122-Reference_Stats!$B$7)/Reference_Stats!$C$7</x:f>
        <x:v>-0.772055806172797</x:v>
      </x:c>
      <x:c r="N122" t="str">
        <x:f>Adimensional_A!I122</x:f>
        <x:v>γ≈1.60</x:v>
      </x:c>
      <x:c r="O122" t="str">
        <x:f>Adimensional_A!J122</x:f>
        <x:v>Train</x:v>
      </x:c>
    </x:row>
    <x:row r="123">
      <x:c r="A123" t="n">
        <x:f>Adimensional_A!A123</x:f>
        <x:v>121</x:v>
      </x:c>
      <x:c r="B123" t="n">
        <x:f>Adimensional_A!B123</x:f>
        <x:v>8.66</x:v>
      </x:c>
      <x:c r="C123" t="n">
        <x:f>Adimensional_A!C123</x:f>
        <x:v>0.9514308217379907</x:v>
      </x:c>
      <x:c r="D123" t="n">
        <x:f>Adimensional_A!D123</x:f>
        <x:v>1.558</x:v>
      </x:c>
      <x:c r="E123" t="n">
        <x:f>(Adimensional_A!B123-Reference_Stats!$B$2)/Reference_Stats!$C$2</x:f>
        <x:v>1.480905647032861</x:v>
      </x:c>
      <x:c r="F123" t="n">
        <x:f>(Adimensional_A!C123-Reference_Stats!$B$3)/Reference_Stats!$C$3</x:f>
        <x:v>-0.18165912740168916</x:v>
      </x:c>
      <x:c r="G123" t="n">
        <x:f>(Adimensional_A!D123-Reference_Stats!$B$4)/Reference_Stats!$C$4</x:f>
        <x:v>0.8061349132356466</x:v>
      </x:c>
      <x:c r="H123" t="n">
        <x:f>Adimensional_A!E123</x:f>
        <x:v>10.791666666666666</x:v>
      </x:c>
      <x:c r="I123" t="n">
        <x:f>Adimensional_A!F123</x:f>
        <x:v>4.166666666666667</x:v>
      </x:c>
      <x:c r="J123" t="n">
        <x:f>Adimensional_A!G123</x:f>
        <x:v>34.16666666666667</x:v>
      </x:c>
      <x:c r="K123" t="n">
        <x:f>(Adimensional_A!E123-Reference_Stats!$B$5)/Reference_Stats!$C$5</x:f>
        <x:v>1.3587213124003898</x:v>
      </x:c>
      <x:c r="L123" t="n">
        <x:f>(Adimensional_A!F123-Reference_Stats!$B$6)/Reference_Stats!$C$6</x:f>
        <x:v>0.881728831417299</x:v>
      </x:c>
      <x:c r="M123" t="n">
        <x:f>(Adimensional_A!G123-Reference_Stats!$B$7)/Reference_Stats!$C$7</x:f>
        <x:v>0.5825262580167606</x:v>
      </x:c>
      <x:c r="N123" t="str">
        <x:f>Adimensional_A!I123</x:f>
        <x:v>γ≈1.60</x:v>
      </x:c>
      <x:c r="O123" t="str">
        <x:f>Adimensional_A!J123</x:f>
        <x:v>Train</x:v>
      </x:c>
    </x:row>
    <x:row r="124">
      <x:c r="A124" t="n">
        <x:f>Adimensional_A!A124</x:f>
        <x:v>122</x:v>
      </x:c>
      <x:c r="B124" t="n">
        <x:f>Adimensional_A!B124</x:f>
        <x:v>7.74</x:v>
      </x:c>
      <x:c r="C124" t="n">
        <x:f>Adimensional_A!C124</x:f>
        <x:v>0.9514308217379907</x:v>
      </x:c>
      <x:c r="D124" t="n">
        <x:f>Adimensional_A!D124</x:f>
        <x:v>1.568</x:v>
      </x:c>
      <x:c r="E124" t="n">
        <x:f>(Adimensional_A!B124-Reference_Stats!$B$2)/Reference_Stats!$C$2</x:f>
        <x:v>0.9634175009234283</x:v>
      </x:c>
      <x:c r="F124" t="n">
        <x:f>(Adimensional_A!C124-Reference_Stats!$B$3)/Reference_Stats!$C$3</x:f>
        <x:v>-0.18165912740168916</x:v>
      </x:c>
      <x:c r="G124" t="n">
        <x:f>(Adimensional_A!D124-Reference_Stats!$B$4)/Reference_Stats!$C$4</x:f>
        <x:v>0.8385918170055331</x:v>
      </x:c>
      <x:c r="H124" t="n">
        <x:f>Adimensional_A!E124</x:f>
        <x:v>9.375</x:v>
      </x:c>
      <x:c r="I124" t="n">
        <x:f>Adimensional_A!F124</x:f>
        <x:v>3.75</x:v>
      </x:c>
      <x:c r="J124" t="n">
        <x:f>Adimensional_A!G124</x:f>
        <x:v>30</x:v>
      </x:c>
      <x:c r="K124" t="n">
        <x:f>(Adimensional_A!E124-Reference_Stats!$B$5)/Reference_Stats!$C$5</x:f>
        <x:v>0.7858461768413916</x:v>
      </x:c>
      <x:c r="L124" t="n">
        <x:f>(Adimensional_A!F124-Reference_Stats!$B$6)/Reference_Stats!$C$6</x:f>
        <x:v>0.5595760560740299</x:v>
      </x:c>
      <x:c r="M124" t="n">
        <x:f>(Adimensional_A!G124-Reference_Stats!$B$7)/Reference_Stats!$C$7</x:f>
        <x:v>0.23173807406328925</x:v>
      </x:c>
      <x:c r="N124" t="str">
        <x:f>Adimensional_A!I124</x:f>
        <x:v>γ≈1.60</x:v>
      </x:c>
      <x:c r="O124" t="str">
        <x:f>Adimensional_A!J124</x:f>
        <x:v>Train</x:v>
      </x:c>
    </x:row>
    <x:row r="125">
      <x:c r="A125" t="n">
        <x:f>Adimensional_A!A125</x:f>
        <x:v>123</x:v>
      </x:c>
      <x:c r="B125" t="n">
        <x:f>Adimensional_A!B125</x:f>
        <x:v>6.42</x:v>
      </x:c>
      <x:c r="C125" t="n">
        <x:f>Adimensional_A!C125</x:f>
        <x:v>0.9910737726437403</x:v>
      </x:c>
      <x:c r="D125" t="n">
        <x:f>Adimensional_A!D125</x:f>
        <x:v>1.569</x:v>
      </x:c>
      <x:c r="E125" t="n">
        <x:f>(Adimensional_A!B125-Reference_Stats!$B$2)/Reference_Stats!$C$2</x:f>
        <x:v>0.22093450867945952</x:v>
      </x:c>
      <x:c r="F125" t="n">
        <x:f>(Adimensional_A!C125-Reference_Stats!$B$3)/Reference_Stats!$C$3</x:f>
        <x:v>-0.03338600179274276</x:v>
      </x:c>
      <x:c r="G125" t="n">
        <x:f>(Adimensional_A!D125-Reference_Stats!$B$4)/Reference_Stats!$C$4</x:f>
        <x:v>0.8418375073825214</x:v>
      </x:c>
      <x:c r="H125" t="n">
        <x:f>Adimensional_A!E125</x:f>
        <x:v>7.6</x:v>
      </x:c>
      <x:c r="I125" t="n">
        <x:f>Adimensional_A!F125</x:f>
        <x:v>2.8</x:v>
      </x:c>
      <x:c r="J125" t="n">
        <x:f>Adimensional_A!G125</x:f>
        <x:v>24</x:v>
      </x:c>
      <x:c r="K125" t="n">
        <x:f>(Adimensional_A!E125-Reference_Stats!$B$5)/Reference_Stats!$C$5</x:f>
        <x:v>0.06806733052335222</x:v>
      </x:c>
      <x:c r="L125" t="n">
        <x:f>(Adimensional_A!F125-Reference_Stats!$B$6)/Reference_Stats!$C$6</x:f>
        <x:v>-0.17493227170862327</x:v>
      </x:c>
      <x:c r="M125" t="n">
        <x:f>(Adimensional_A!G125-Reference_Stats!$B$7)/Reference_Stats!$C$7</x:f>
        <x:v>-0.27339691082970896</x:v>
      </x:c>
      <x:c r="N125" t="str">
        <x:f>Adimensional_A!I125</x:f>
        <x:v>γ≈1.60</x:v>
      </x:c>
      <x:c r="O125" t="str">
        <x:f>Adimensional_A!J125</x:f>
        <x:v>Train</x:v>
      </x:c>
    </x:row>
    <x:row r="126">
      <x:c r="A126" t="n">
        <x:f>Adimensional_A!A126</x:f>
        <x:v>124</x:v>
      </x:c>
      <x:c r="B126" t="n">
        <x:f>Adimensional_A!B126</x:f>
        <x:v>5.13</x:v>
      </x:c>
      <x:c r="C126" t="n">
        <x:f>Adimensional_A!C126</x:f>
        <x:v>0.9514308217379907</x:v>
      </x:c>
      <x:c r="D126" t="n">
        <x:f>Adimensional_A!D126</x:f>
        <x:v>1.57</x:v>
      </x:c>
      <x:c r="E126" t="n">
        <x:f>(Adimensional_A!B126-Reference_Stats!$B$2)/Reference_Stats!$C$2</x:f>
        <x:v>-0.5046738701044189</x:v>
      </x:c>
      <x:c r="F126" t="n">
        <x:f>(Adimensional_A!C126-Reference_Stats!$B$3)/Reference_Stats!$C$3</x:f>
        <x:v>-0.18165912740168916</x:v>
      </x:c>
      <x:c r="G126" t="n">
        <x:f>(Adimensional_A!D126-Reference_Stats!$B$4)/Reference_Stats!$C$4</x:f>
        <x:v>0.8450831977595104</x:v>
      </x:c>
      <x:c r="H126" t="n">
        <x:f>Adimensional_A!E126</x:f>
        <x:v>6.208333333333334</x:v>
      </x:c>
      <x:c r="I126" t="n">
        <x:f>Adimensional_A!F126</x:f>
        <x:v>2.0833333333333335</x:v>
      </x:c>
      <x:c r="J126" t="n">
        <x:f>Adimensional_A!G126</x:f>
        <x:v>17.916666666666668</x:v>
      </x:c>
      <x:c r="K126" t="n">
        <x:f>(Adimensional_A!E126-Reference_Stats!$B$5)/Reference_Stats!$C$5</x:f>
        <x:v>-0.49469824381989885</x:v>
      </x:c>
      <x:c r="L126" t="n">
        <x:f>(Adimensional_A!F126-Reference_Stats!$B$6)/Reference_Stats!$C$6</x:f>
        <x:v>-0.7290350452990455</x:v>
      </x:c>
      <x:c r="M126" t="n">
        <x:f>(Adimensional_A!G126-Reference_Stats!$B$7)/Reference_Stats!$C$7</x:f>
        <x:v>-0.7855476594017765</x:v>
      </x:c>
      <x:c r="N126" t="str">
        <x:f>Adimensional_A!I126</x:f>
        <x:v>γ≈1.60</x:v>
      </x:c>
      <x:c r="O126" t="str">
        <x:f>Adimensional_A!J126</x:f>
        <x:v>Test</x:v>
      </x:c>
    </x:row>
    <x:row r="127">
      <x:c r="A127" t="n">
        <x:f>Adimensional_A!A127</x:f>
        <x:v>125</x:v>
      </x:c>
      <x:c r="B127" t="n">
        <x:f>Adimensional_A!B127</x:f>
        <x:v>8.88</x:v>
      </x:c>
      <x:c r="C127" t="n">
        <x:f>Adimensional_A!C127</x:f>
        <x:v>0.911787870832241</x:v>
      </x:c>
      <x:c r="D127" t="n">
        <x:f>Adimensional_A!D127</x:f>
        <x:v>1.572</x:v>
      </x:c>
      <x:c r="E127" t="n">
        <x:f>(Adimensional_A!B127-Reference_Stats!$B$2)/Reference_Stats!$C$2</x:f>
        <x:v>1.604652812406856</x:v>
      </x:c>
      <x:c r="F127" t="n">
        <x:f>(Adimensional_A!C127-Reference_Stats!$B$3)/Reference_Stats!$C$3</x:f>
        <x:v>-0.32993225301063556</x:v>
      </x:c>
      <x:c r="G127" t="n">
        <x:f>(Adimensional_A!D127-Reference_Stats!$B$4)/Reference_Stats!$C$4</x:f>
        <x:v>0.8515745785134877</x:v>
      </x:c>
      <x:c r="H127" t="n">
        <x:f>Adimensional_A!E127</x:f>
        <x:v>10.869565217391305</x:v>
      </x:c>
      <x:c r="I127" t="n">
        <x:f>Adimensional_A!F127</x:f>
        <x:v>4.347826086956522</x:v>
      </x:c>
      <x:c r="J127" t="n">
        <x:f>Adimensional_A!G127</x:f>
        <x:v>34.78260869565218</x:v>
      </x:c>
      <x:c r="K127" t="n">
        <x:f>(Adimensional_A!E127-Reference_Stats!$B$5)/Reference_Stats!$C$5</x:f>
        <x:v>1.3902221190871382</x:v>
      </x:c>
      <x:c r="L127" t="n">
        <x:f>(Adimensional_A!F127-Reference_Stats!$B$6)/Reference_Stats!$C$6</x:f>
        <x:v>1.0217952554795902</x:v>
      </x:c>
      <x:c r="M127" t="n">
        <x:f>(Adimensional_A!G127-Reference_Stats!$B$7)/Reference_Stats!$C$7</x:f>
        <x:v>0.6343819026011868</x:v>
      </x:c>
      <x:c r="N127" t="str">
        <x:f>Adimensional_A!I127</x:f>
        <x:v>γ≈1.60</x:v>
      </x:c>
      <x:c r="O127" t="str">
        <x:f>Adimensional_A!J127</x:f>
        <x:v>Train</x:v>
      </x:c>
    </x:row>
    <x:row r="128">
      <x:c r="A128" t="n">
        <x:f>Adimensional_A!A128</x:f>
        <x:v>126</x:v>
      </x:c>
      <x:c r="B128" t="n">
        <x:f>Adimensional_A!B128</x:f>
        <x:v>5.09</x:v>
      </x:c>
      <x:c r="C128" t="n">
        <x:f>Adimensional_A!C128</x:f>
        <x:v>1.3478603307954866</x:v>
      </x:c>
      <x:c r="D128" t="n">
        <x:f>Adimensional_A!D128</x:f>
        <x:v>1.587</x:v>
      </x:c>
      <x:c r="E128" t="n">
        <x:f>(Adimensional_A!B128-Reference_Stats!$B$2)/Reference_Stats!$C$2</x:f>
        <x:v>-0.5271733547178725</x:v>
      </x:c>
      <x:c r="F128" t="n">
        <x:f>(Adimensional_A!C128-Reference_Stats!$B$3)/Reference_Stats!$C$3</x:f>
        <x:v>1.3010721286877727</x:v>
      </x:c>
      <x:c r="G128" t="n">
        <x:f>(Adimensional_A!D128-Reference_Stats!$B$4)/Reference_Stats!$C$4</x:f>
        <x:v>0.9002599341683172</x:v>
      </x:c>
      <x:c r="H128" t="n">
        <x:f>Adimensional_A!E128</x:f>
        <x:v>5.676470588235294</x:v>
      </x:c>
      <x:c r="I128" t="n">
        <x:f>Adimensional_A!F128</x:f>
        <x:v>2.058823529411765</x:v>
      </x:c>
      <x:c r="J128" t="n">
        <x:f>Adimensional_A!G128</x:f>
        <x:v>16.764705882352942</x:v>
      </x:c>
      <x:c r="K128" t="n">
        <x:f>(Adimensional_A!E128-Reference_Stats!$B$5)/Reference_Stats!$C$5</x:f>
        <x:v>-0.7097742030176545</x:v>
      </x:c>
      <x:c r="L128" t="n">
        <x:f>(Adimensional_A!F128-Reference_Stats!$B$6)/Reference_Stats!$C$6</x:f>
        <x:v>-0.7479852085545318</x:v>
      </x:c>
      <x:c r="M128" t="n">
        <x:f>(Adimensional_A!G128-Reference_Stats!$B$7)/Reference_Stats!$C$7</x:f>
        <x:v>-0.8825302749653832</x:v>
      </x:c>
      <x:c r="N128" t="str">
        <x:f>Adimensional_A!I128</x:f>
        <x:v>γ≈1.60</x:v>
      </x:c>
      <x:c r="O128" t="str">
        <x:f>Adimensional_A!J128</x:f>
        <x:v>Train</x:v>
      </x:c>
    </x:row>
    <x:row r="129">
      <x:c r="A129" t="n">
        <x:f>Adimensional_A!A129</x:f>
        <x:v>127</x:v>
      </x:c>
      <x:c r="B129" t="n">
        <x:f>Adimensional_A!B129</x:f>
        <x:v>5.25</x:v>
      </x:c>
      <x:c r="C129" t="n">
        <x:f>Adimensional_A!C129</x:f>
        <x:v>1.3478603307954866</x:v>
      </x:c>
      <x:c r="D129" t="n">
        <x:f>Adimensional_A!D129</x:f>
        <x:v>1.651</x:v>
      </x:c>
      <x:c r="E129" t="n">
        <x:f>(Adimensional_A!B129-Reference_Stats!$B$2)/Reference_Stats!$C$2</x:f>
        <x:v>-0.4371754162640581</x:v>
      </x:c>
      <x:c r="F129" t="n">
        <x:f>(Adimensional_A!C129-Reference_Stats!$B$3)/Reference_Stats!$C$3</x:f>
        <x:v>1.3010721286877727</x:v>
      </x:c>
      <x:c r="G129" t="n">
        <x:f>(Adimensional_A!D129-Reference_Stats!$B$4)/Reference_Stats!$C$4</x:f>
        <x:v>1.107984118295591</x:v>
      </x:c>
      <x:c r="H129" t="n">
        <x:f>Adimensional_A!E129</x:f>
        <x:v>5.794117647058823</x:v>
      </x:c>
      <x:c r="I129" t="n">
        <x:f>Adimensional_A!F129</x:f>
        <x:v>2.058823529411765</x:v>
      </x:c>
      <x:c r="J129" t="n">
        <x:f>Adimensional_A!G129</x:f>
        <x:v>16.764705882352942</x:v>
      </x:c>
      <x:c r="K129" t="n">
        <x:f>(Adimensional_A!E129-Reference_Stats!$B$5)/Reference_Stats!$C$5</x:f>
        <x:v>-0.6621997972964921</x:v>
      </x:c>
      <x:c r="L129" t="n">
        <x:f>(Adimensional_A!F129-Reference_Stats!$B$6)/Reference_Stats!$C$6</x:f>
        <x:v>-0.7479852085545318</x:v>
      </x:c>
      <x:c r="M129" t="n">
        <x:f>(Adimensional_A!G129-Reference_Stats!$B$7)/Reference_Stats!$C$7</x:f>
        <x:v>-0.8825302749653832</x:v>
      </x:c>
      <x:c r="N129" t="str">
        <x:f>Adimensional_A!I129</x:f>
        <x:v>γ≈1.60</x:v>
      </x:c>
      <x:c r="O129" t="str">
        <x:f>Adimensional_A!J129</x:f>
        <x:v>Train</x:v>
      </x:c>
    </x:row>
    <x:row r="130">
      <x:c r="A130" t="n">
        <x:f>Adimensional_A!A130</x:f>
        <x:v>128</x:v>
      </x:c>
      <x:c r="B130" t="n">
        <x:f>Adimensional_A!B130</x:f>
        <x:v>3.43</x:v>
      </x:c>
      <x:c r="C130" t="n">
        <x:f>Adimensional_A!C130</x:f>
        <x:v>1.7839327907587326</x:v>
      </x:c>
      <x:c r="D130" t="n">
        <x:f>Adimensional_A!D130</x:f>
        <x:v>1.661</x:v>
      </x:c>
      <x:c r="E130" t="n">
        <x:f>(Adimensional_A!B130-Reference_Stats!$B$2)/Reference_Stats!$C$2</x:f>
        <x:v>-1.4609019661761966</x:v>
      </x:c>
      <x:c r="F130" t="n">
        <x:f>(Adimensional_A!C130-Reference_Stats!$B$3)/Reference_Stats!$C$3</x:f>
        <x:v>2.932076510386182</x:v>
      </x:c>
      <x:c r="G130" t="n">
        <x:f>(Adimensional_A!D130-Reference_Stats!$B$4)/Reference_Stats!$C$4</x:f>
        <x:v>1.1404410220654775</x:v>
      </x:c>
      <x:c r="H130" t="n">
        <x:f>Adimensional_A!E130</x:f>
        <x:v>3.711111111111111</x:v>
      </x:c>
      <x:c r="I130" t="n">
        <x:f>Adimensional_A!F130</x:f>
        <x:v>1.1111111111111112</x:v>
      </x:c>
      <x:c r="J130" t="n">
        <x:f>Adimensional_A!G130</x:f>
        <x:v>8.88888888888889</x:v>
      </x:c>
      <x:c r="K130" t="n">
        <x:f>(Adimensional_A!E130-Reference_Stats!$B$5)/Reference_Stats!$C$5</x:f>
        <x:v>-1.504531080815075</x:v>
      </x:c>
      <x:c r="L130" t="n">
        <x:f>(Adimensional_A!F130-Reference_Stats!$B$6)/Reference_Stats!$C$6</x:f>
        <x:v>-1.4807248544333396</x:v>
      </x:c>
      <x:c r="M130" t="n">
        <x:f>(Adimensional_A!G130-Reference_Stats!$B$7)/Reference_Stats!$C$7</x:f>
        <x:v>-1.545588724634297</x:v>
      </x:c>
      <x:c r="N130" t="str">
        <x:f>Adimensional_A!I130</x:f>
        <x:v>γ≈1.60</x:v>
      </x:c>
      <x:c r="O130" t="str">
        <x:f>Adimensional_A!J130</x:f>
        <x:v>Train</x:v>
      </x:c>
    </x:row>
    <x:row r="131">
      <x:c r="A131" t="n">
        <x:f>Adimensional_A!A131</x:f>
        <x:v>129</x:v>
      </x:c>
      <x:c r="B131" t="n">
        <x:f>Adimensional_A!B131</x:f>
        <x:v>5.29</x:v>
      </x:c>
      <x:c r="C131" t="n">
        <x:f>Adimensional_A!C131</x:f>
        <x:v>0.9514308217379907</x:v>
      </x:c>
      <x:c r="D131" t="n">
        <x:f>Adimensional_A!D131</x:f>
        <x:v>1.676</x:v>
      </x:c>
      <x:c r="E131" t="n">
        <x:f>(Adimensional_A!B131-Reference_Stats!$B$2)/Reference_Stats!$C$2</x:f>
        <x:v>-0.41467593165060446</x:v>
      </x:c>
      <x:c r="F131" t="n">
        <x:f>(Adimensional_A!C131-Reference_Stats!$B$3)/Reference_Stats!$C$3</x:f>
        <x:v>-0.18165912740168916</x:v>
      </x:c>
      <x:c r="G131" t="n">
        <x:f>(Adimensional_A!D131-Reference_Stats!$B$4)/Reference_Stats!$C$4</x:f>
        <x:v>1.189126377720307</x:v>
      </x:c>
      <x:c r="H131" t="n">
        <x:f>Adimensional_A!E131</x:f>
        <x:v>6.5</x:v>
      </x:c>
      <x:c r="I131" t="n">
        <x:f>Adimensional_A!F131</x:f>
        <x:v>2.0833333333333335</x:v>
      </x:c>
      <x:c r="J131" t="n">
        <x:f>Adimensional_A!G131</x:f>
        <x:v>17.5</x:v>
      </x:c>
      <x:c r="K131" t="n">
        <x:f>(Adimensional_A!E131-Reference_Stats!$B$5)/Reference_Stats!$C$5</x:f>
        <x:v>-0.37675336296951706</x:v>
      </x:c>
      <x:c r="L131" t="n">
        <x:f>(Adimensional_A!F131-Reference_Stats!$B$6)/Reference_Stats!$C$6</x:f>
        <x:v>-0.7290350452990455</x:v>
      </x:c>
      <x:c r="M131" t="n">
        <x:f>(Adimensional_A!G131-Reference_Stats!$B$7)/Reference_Stats!$C$7</x:f>
        <x:v>-0.8206264777971237</x:v>
      </x:c>
      <x:c r="N131" t="str">
        <x:f>Adimensional_A!I131</x:f>
        <x:v>γ≈1.60</x:v>
      </x:c>
      <x:c r="O131" t="str">
        <x:f>Adimensional_A!J131</x:f>
        <x:v>Train</x:v>
      </x:c>
    </x:row>
    <x:row r="132">
      <x:c r="A132" t="n">
        <x:f>Adimensional_A!A132</x:f>
        <x:v>130</x:v>
      </x:c>
      <x:c r="B132" t="n">
        <x:f>Adimensional_A!B132</x:f>
        <x:v>4.98</x:v>
      </x:c>
      <x:c r="C132" t="n">
        <x:f>Adimensional_A!C132</x:f>
        <x:v>1.0703596744552395</x:v>
      </x:c>
      <x:c r="D132" t="n">
        <x:f>Adimensional_A!D132</x:f>
        <x:v>1.698</x:v>
      </x:c>
      <x:c r="E132" t="n">
        <x:f>(Adimensional_A!B132-Reference_Stats!$B$2)/Reference_Stats!$C$2</x:f>
        <x:v>-0.5890469374048696</x:v>
      </x:c>
      <x:c r="F132" t="n">
        <x:f>(Adimensional_A!C132-Reference_Stats!$B$3)/Reference_Stats!$C$3</x:f>
        <x:v>0.2631602494251496</x:v>
      </x:c>
      <x:c r="G132" t="n">
        <x:f>(Adimensional_A!D132-Reference_Stats!$B$4)/Reference_Stats!$C$4</x:f>
        <x:v>1.2605315660140572</x:v>
      </x:c>
      <x:c r="H132" t="n">
        <x:f>Adimensional_A!E132</x:f>
        <x:v>5.333333333333333</x:v>
      </x:c>
      <x:c r="I132" t="n">
        <x:f>Adimensional_A!F132</x:f>
        <x:v>1.8518518518518516</x:v>
      </x:c>
      <x:c r="J132" t="n">
        <x:f>Adimensional_A!G132</x:f>
        <x:v>15.925925925925926</x:v>
      </x:c>
      <x:c r="K132" t="n">
        <x:f>(Adimensional_A!E132-Reference_Stats!$B$5)/Reference_Stats!$C$5</x:f>
        <x:v>-0.8485328863710453</x:v>
      </x:c>
      <x:c r="L132" t="n">
        <x:f>(Adimensional_A!F132-Reference_Stats!$B$6)/Reference_Stats!$C$6</x:f>
        <x:v>-0.9080088093786396</x:v>
      </x:c>
      <x:c r="M132" t="n">
        <x:f>(Adimensional_A!G132-Reference_Stats!$B$7)/Reference_Stats!$C$7</x:f>
        <x:v>-0.9531464584017683</x:v>
      </x:c>
      <x:c r="N132" t="str">
        <x:f>Adimensional_A!I132</x:f>
        <x:v>γ≈1.60</x:v>
      </x:c>
      <x:c r="O132" t="str">
        <x:f>Adimensional_A!J132</x:f>
        <x:v>Train</x:v>
      </x:c>
    </x:row>
    <x:row r="133">
      <x:c r="A133" t="n">
        <x:f>Adimensional_A!A133</x:f>
        <x:v>131</x:v>
      </x:c>
      <x:c r="B133" t="n">
        <x:f>Adimensional_A!B133</x:f>
        <x:v>6.26</x:v>
      </x:c>
      <x:c r="C133" t="n">
        <x:f>Adimensional_A!C133</x:f>
        <x:v>0.6739301653977433</x:v>
      </x:c>
      <x:c r="D133" t="n">
        <x:f>Adimensional_A!D133</x:f>
        <x:v>1.723</x:v>
      </x:c>
      <x:c r="E133" t="n">
        <x:f>(Adimensional_A!B133-Reference_Stats!$B$2)/Reference_Stats!$C$2</x:f>
        <x:v>0.13093657022564506</x:v>
      </x:c>
      <x:c r="F133" t="n">
        <x:f>(Adimensional_A!C133-Reference_Stats!$B$3)/Reference_Stats!$C$3</x:f>
        <x:v>-1.219571006664313</x:v>
      </x:c>
      <x:c r="G133" t="n">
        <x:f>(Adimensional_A!D133-Reference_Stats!$B$4)/Reference_Stats!$C$4</x:f>
        <x:v>1.3416738254387741</x:v>
      </x:c>
      <x:c r="H133" t="n">
        <x:f>Adimensional_A!E133</x:f>
        <x:v>7.647058823529412</x:v>
      </x:c>
      <x:c r="I133" t="n">
        <x:f>Adimensional_A!F133</x:f>
        <x:v>2.9411764705882355</x:v>
      </x:c>
      <x:c r="J133" t="n">
        <x:f>Adimensional_A!G133</x:f>
        <x:v>21.176470588235293</x:v>
      </x:c>
      <x:c r="K133" t="n">
        <x:f>(Adimensional_A!E133-Reference_Stats!$B$5)/Reference_Stats!$C$5</x:f>
        <x:v>0.08709709281181752</x:v>
      </x:c>
      <x:c r="L133" t="n">
        <x:f>(Adimensional_A!F133-Reference_Stats!$B$6)/Reference_Stats!$C$6</x:f>
        <x:v>-0.06577933135702128</x:v>
      </x:c>
      <x:c r="M133" t="n">
        <x:f>(Adimensional_A!G133-Reference_Stats!$B$7)/Reference_Stats!$C$7</x:f>
        <x:v>-0.5111074919558258</x:v>
      </x:c>
      <x:c r="N133" t="str">
        <x:f>Adimensional_A!I133</x:f>
        <x:v>γ≈1.60</x:v>
      </x:c>
      <x:c r="O133" t="str">
        <x:f>Adimensional_A!J133</x:f>
        <x:v>Test</x:v>
      </x:c>
    </x:row>
    <x:row r="134">
      <x:c r="A134" t="n">
        <x:f>Adimensional_A!A134</x:f>
        <x:v>132</x:v>
      </x:c>
      <x:c r="B134" t="n">
        <x:f>Adimensional_A!B134</x:f>
        <x:v>6.78</x:v>
      </x:c>
      <x:c r="C134" t="n">
        <x:f>Adimensional_A!C134</x:f>
        <x:v>0.9514308217379907</x:v>
      </x:c>
      <x:c r="D134" t="n">
        <x:f>Adimensional_A!D134</x:f>
        <x:v>1.724</x:v>
      </x:c>
      <x:c r="E134" t="n">
        <x:f>(Adimensional_A!B134-Reference_Stats!$B$2)/Reference_Stats!$C$2</x:f>
        <x:v>0.423429870200542</x:v>
      </x:c>
      <x:c r="F134" t="n">
        <x:f>(Adimensional_A!C134-Reference_Stats!$B$3)/Reference_Stats!$C$3</x:f>
        <x:v>-0.18165912740168916</x:v>
      </x:c>
      <x:c r="G134" t="n">
        <x:f>(Adimensional_A!D134-Reference_Stats!$B$4)/Reference_Stats!$C$4</x:f>
        <x:v>1.3449195158157623</x:v>
      </x:c>
      <x:c r="H134" t="n">
        <x:f>Adimensional_A!E134</x:f>
        <x:v>8.25</x:v>
      </x:c>
      <x:c r="I134" t="n">
        <x:f>Adimensional_A!F134</x:f>
        <x:v>2.916666666666667</x:v>
      </x:c>
      <x:c r="J134" t="n">
        <x:f>Adimensional_A!G134</x:f>
        <x:v>23.333333333333336</x:v>
      </x:c>
      <x:c r="K134" t="n">
        <x:f>(Adimensional_A!E134-Reference_Stats!$B$5)/Reference_Stats!$C$5</x:f>
        <x:v>0.3309159221327752</x:v>
      </x:c>
      <x:c r="L134" t="n">
        <x:f>(Adimensional_A!F134-Reference_Stats!$B$6)/Reference_Stats!$C$6</x:f>
        <x:v>-0.08472949461250763</x:v>
      </x:c>
      <x:c r="M134" t="n">
        <x:f>(Adimensional_A!G134-Reference_Stats!$B$7)/Reference_Stats!$C$7</x:f>
        <x:v>-0.3295230202622641</x:v>
      </x:c>
      <x:c r="N134" t="str">
        <x:f>Adimensional_A!I134</x:f>
        <x:v>γ≈1.60</x:v>
      </x:c>
      <x:c r="O134" t="str">
        <x:f>Adimensional_A!J134</x:f>
        <x:v>Train</x:v>
      </x:c>
    </x:row>
    <x:row r="135">
      <x:c r="A135" t="n">
        <x:f>Adimensional_A!A135</x:f>
        <x:v>133</x:v>
      </x:c>
      <x:c r="B135" t="n">
        <x:f>Adimensional_A!B135</x:f>
        <x:v>8.09</x:v>
      </x:c>
      <x:c r="C135" t="n">
        <x:f>Adimensional_A!C135</x:f>
        <x:v>0.9514308217379907</x:v>
      </x:c>
      <x:c r="D135" t="n">
        <x:f>Adimensional_A!D135</x:f>
        <x:v>1.745</x:v>
      </x:c>
      <x:c r="E135" t="n">
        <x:f>(Adimensional_A!B135-Reference_Stats!$B$2)/Reference_Stats!$C$2</x:f>
        <x:v>1.160287991291147</x:v>
      </x:c>
      <x:c r="F135" t="n">
        <x:f>(Adimensional_A!C135-Reference_Stats!$B$3)/Reference_Stats!$C$3</x:f>
        <x:v>-0.18165912740168916</x:v>
      </x:c>
      <x:c r="G135" t="n">
        <x:f>(Adimensional_A!D135-Reference_Stats!$B$4)/Reference_Stats!$C$4</x:f>
        <x:v>1.4130790137325244</x:v>
      </x:c>
      <x:c r="H135" t="n">
        <x:f>Adimensional_A!E135</x:f>
        <x:v>9.916666666666668</x:v>
      </x:c>
      <x:c r="I135" t="n">
        <x:f>Adimensional_A!F135</x:f>
        <x:v>3.75</x:v>
      </x:c>
      <x:c r="J135" t="n">
        <x:f>Adimensional_A!G135</x:f>
        <x:v>28.333333333333336</x:v>
      </x:c>
      <x:c r="K135" t="n">
        <x:f>(Adimensional_A!E135-Reference_Stats!$B$5)/Reference_Stats!$C$5</x:f>
        <x:v>1.0048866698492445</x:v>
      </x:c>
      <x:c r="L135" t="n">
        <x:f>(Adimensional_A!F135-Reference_Stats!$B$6)/Reference_Stats!$C$6</x:f>
        <x:v>0.5595760560740299</x:v>
      </x:c>
      <x:c r="M135" t="n">
        <x:f>(Adimensional_A!G135-Reference_Stats!$B$7)/Reference_Stats!$C$7</x:f>
        <x:v>0.09142280048190105</x:v>
      </x:c>
      <x:c r="N135" t="str">
        <x:f>Adimensional_A!I135</x:f>
        <x:v>γ≈1.60</x:v>
      </x:c>
      <x:c r="O135" t="str">
        <x:f>Adimensional_A!J135</x:f>
        <x:v>Test</x:v>
      </x:c>
    </x:row>
    <x:row r="136">
      <x:c r="A136" t="n">
        <x:f>Adimensional_A!A136</x:f>
        <x:v>134</x:v>
      </x:c>
      <x:c r="B136" t="n">
        <x:f>Adimensional_A!B136</x:f>
        <x:v>5.95</x:v>
      </x:c>
      <x:c r="C136" t="n">
        <x:f>Adimensional_A!C136</x:f>
        <x:v>0.9910737726437403</x:v>
      </x:c>
      <x:c r="D136" t="n">
        <x:f>Adimensional_A!D136</x:f>
        <x:v>1.747</x:v>
      </x:c>
      <x:c r="E136" t="n">
        <x:f>(Adimensional_A!B136-Reference_Stats!$B$2)/Reference_Stats!$C$2</x:f>
        <x:v>-0.043434435528620086</x:v>
      </x:c>
      <x:c r="F136" t="n">
        <x:f>(Adimensional_A!C136-Reference_Stats!$B$3)/Reference_Stats!$C$3</x:f>
        <x:v>-0.03338600179274276</x:v>
      </x:c>
      <x:c r="G136" t="n">
        <x:f>(Adimensional_A!D136-Reference_Stats!$B$4)/Reference_Stats!$C$4</x:f>
        <x:v>1.4195703944865017</x:v>
      </x:c>
      <x:c r="H136" t="n">
        <x:f>Adimensional_A!E136</x:f>
        <x:v>6.959999999999999</x:v>
      </x:c>
      <x:c r="I136" t="n">
        <x:f>Adimensional_A!F136</x:f>
        <x:v>2.4</x:v>
      </x:c>
      <x:c r="J136" t="n">
        <x:f>Adimensional_A!G136</x:f>
        <x:v>19.6</x:v>
      </x:c>
      <x:c r="K136" t="n">
        <x:f>(Adimensional_A!E136-Reference_Stats!$B$5)/Reference_Stats!$C$5</x:f>
        <x:v>-0.19073743659977202</x:v>
      </x:c>
      <x:c r="L136" t="n">
        <x:f>(Adimensional_A!F136-Reference_Stats!$B$6)/Reference_Stats!$C$6</x:f>
        <x:v>-0.48419893603816133</x:v>
      </x:c>
      <x:c r="M136" t="n">
        <x:f>(Adimensional_A!G136-Reference_Stats!$B$7)/Reference_Stats!$C$7</x:f>
        <x:v>-0.6438292330845742</x:v>
      </x:c>
      <x:c r="N136" t="str">
        <x:f>Adimensional_A!I136</x:f>
        <x:v>γ≈1.60</x:v>
      </x:c>
      <x:c r="O136" t="str">
        <x:f>Adimensional_A!J136</x:f>
        <x:v>Test</x:v>
      </x:c>
    </x:row>
    <x:row r="137">
      <x:c r="A137" t="n">
        <x:f>Adimensional_A!A137</x:f>
        <x:v>135</x:v>
      </x:c>
      <x:c r="B137" t="n">
        <x:f>Adimensional_A!B137</x:f>
        <x:v>3.58</x:v>
      </x:c>
      <x:c r="C137" t="n">
        <x:f>Adimensional_A!C137</x:f>
        <x:v>1.7839327907587326</x:v>
      </x:c>
      <x:c r="D137" t="n">
        <x:f>Adimensional_A!D137</x:f>
        <x:v>1.784</x:v>
      </x:c>
      <x:c r="E137" t="n">
        <x:f>(Adimensional_A!B137-Reference_Stats!$B$2)/Reference_Stats!$C$2</x:f>
        <x:v>-1.3765288988757456</x:v>
      </x:c>
      <x:c r="F137" t="n">
        <x:f>(Adimensional_A!C137-Reference_Stats!$B$3)/Reference_Stats!$C$3</x:f>
        <x:v>2.932076510386182</x:v>
      </x:c>
      <x:c r="G137" t="n">
        <x:f>(Adimensional_A!D137-Reference_Stats!$B$4)/Reference_Stats!$C$4</x:f>
        <x:v>1.5396609384350814</x:v>
      </x:c>
      <x:c r="H137" t="n">
        <x:f>Adimensional_A!E137</x:f>
        <x:v>3.6666666666666665</x:v>
      </x:c>
      <x:c r="I137" t="n">
        <x:f>Adimensional_A!F137</x:f>
        <x:v>1.1111111111111112</x:v>
      </x:c>
      <x:c r="J137" t="n">
        <x:f>Adimensional_A!G137</x:f>
        <x:v>8.88888888888889</x:v>
      </x:c>
      <x:c r="K137" t="n">
        <x:f>(Adimensional_A!E137-Reference_Stats!$B$5)/Reference_Stats!$C$5</x:f>
        <x:v>-1.522503634087514</x:v>
      </x:c>
      <x:c r="L137" t="n">
        <x:f>(Adimensional_A!F137-Reference_Stats!$B$6)/Reference_Stats!$C$6</x:f>
        <x:v>-1.4807248544333396</x:v>
      </x:c>
      <x:c r="M137" t="n">
        <x:f>(Adimensional_A!G137-Reference_Stats!$B$7)/Reference_Stats!$C$7</x:f>
        <x:v>-1.545588724634297</x:v>
      </x:c>
      <x:c r="N137" t="str">
        <x:f>Adimensional_A!I137</x:f>
        <x:v>γ≈1.93</x:v>
      </x:c>
      <x:c r="O137" t="str">
        <x:f>Adimensional_A!J137</x:f>
        <x:v>Test</x:v>
      </x:c>
    </x:row>
    <x:row r="138">
      <x:c r="A138" t="n">
        <x:f>Adimensional_A!A138</x:f>
        <x:v>136</x:v>
      </x:c>
      <x:c r="B138" t="n">
        <x:f>Adimensional_A!B138</x:f>
        <x:v>7.63</x:v>
      </x:c>
      <x:c r="C138" t="n">
        <x:f>Adimensional_A!C138</x:f>
        <x:v>0.9514308217379907</x:v>
      </x:c>
      <x:c r="D138" t="n">
        <x:f>Adimensional_A!D138</x:f>
        <x:v>1.791</x:v>
      </x:c>
      <x:c r="E138" t="n">
        <x:f>(Adimensional_A!B138-Reference_Stats!$B$2)/Reference_Stats!$C$2</x:f>
        <x:v>0.9015439182364308</x:v>
      </x:c>
      <x:c r="F138" t="n">
        <x:f>(Adimensional_A!C138-Reference_Stats!$B$3)/Reference_Stats!$C$3</x:f>
        <x:v>-0.18165912740168916</x:v>
      </x:c>
      <x:c r="G138" t="n">
        <x:f>(Adimensional_A!D138-Reference_Stats!$B$4)/Reference_Stats!$C$4</x:f>
        <x:v>1.5623807710740016</x:v>
      </x:c>
      <x:c r="H138" t="n">
        <x:f>Adimensional_A!E138</x:f>
        <x:v>9.291666666666668</x:v>
      </x:c>
      <x:c r="I138" t="n">
        <x:f>Adimensional_A!F138</x:f>
        <x:v>3.3333333333333335</x:v>
      </x:c>
      <x:c r="J138" t="n">
        <x:f>Adimensional_A!G138</x:f>
        <x:v>25.833333333333336</x:v>
      </x:c>
      <x:c r="K138" t="n">
        <x:f>(Adimensional_A!E138-Reference_Stats!$B$5)/Reference_Stats!$C$5</x:f>
        <x:v>0.7521476394555686</x:v>
      </x:c>
      <x:c r="L138" t="n">
        <x:f>(Adimensional_A!F138-Reference_Stats!$B$6)/Reference_Stats!$C$6</x:f>
        <x:v>0.23742328073076113</x:v>
      </x:c>
      <x:c r="M138" t="n">
        <x:f>(Adimensional_A!G138-Reference_Stats!$B$7)/Reference_Stats!$C$7</x:f>
        <x:v>-0.11905010989018154</x:v>
      </x:c>
      <x:c r="N138" t="str">
        <x:f>Adimensional_A!I138</x:f>
        <x:v>γ≈1.93</x:v>
      </x:c>
      <x:c r="O138" t="str">
        <x:f>Adimensional_A!J138</x:f>
        <x:v>Train</x:v>
      </x:c>
    </x:row>
    <x:row r="139">
      <x:c r="A139" t="n">
        <x:f>Adimensional_A!A139</x:f>
        <x:v>137</x:v>
      </x:c>
      <x:c r="B139" t="n">
        <x:f>Adimensional_A!B139</x:f>
        <x:v>8.38</x:v>
      </x:c>
      <x:c r="C139" t="n">
        <x:f>Adimensional_A!C139</x:f>
        <x:v>0.9514308217379907</x:v>
      </x:c>
      <x:c r="D139" t="n">
        <x:f>Adimensional_A!D139</x:f>
        <x:v>1.813</x:v>
      </x:c>
      <x:c r="E139" t="n">
        <x:f>(Adimensional_A!B139-Reference_Stats!$B$2)/Reference_Stats!$C$2</x:f>
        <x:v>1.3234092547386862</x:v>
      </x:c>
      <x:c r="F139" t="n">
        <x:f>(Adimensional_A!C139-Reference_Stats!$B$3)/Reference_Stats!$C$3</x:f>
        <x:v>-0.18165912740168916</x:v>
      </x:c>
      <x:c r="G139" t="n">
        <x:f>(Adimensional_A!D139-Reference_Stats!$B$4)/Reference_Stats!$C$4</x:f>
        <x:v>1.6337859593677522</x:v>
      </x:c>
      <x:c r="H139" t="n">
        <x:f>Adimensional_A!E139</x:f>
        <x:v>10.208333333333334</x:v>
      </x:c>
      <x:c r="I139" t="n">
        <x:f>Adimensional_A!F139</x:f>
        <x:v>3.75</x:v>
      </x:c>
      <x:c r="J139" t="n">
        <x:f>Adimensional_A!G139</x:f>
        <x:v>28.333333333333336</x:v>
      </x:c>
      <x:c r="K139" t="n">
        <x:f>(Adimensional_A!E139-Reference_Stats!$B$5)/Reference_Stats!$C$5</x:f>
        <x:v>1.1228315506996263</x:v>
      </x:c>
      <x:c r="L139" t="n">
        <x:f>(Adimensional_A!F139-Reference_Stats!$B$6)/Reference_Stats!$C$6</x:f>
        <x:v>0.5595760560740299</x:v>
      </x:c>
      <x:c r="M139" t="n">
        <x:f>(Adimensional_A!G139-Reference_Stats!$B$7)/Reference_Stats!$C$7</x:f>
        <x:v>0.09142280048190105</x:v>
      </x:c>
      <x:c r="N139" t="str">
        <x:f>Adimensional_A!I139</x:f>
        <x:v>γ≈1.93</x:v>
      </x:c>
      <x:c r="O139" t="str">
        <x:f>Adimensional_A!J139</x:f>
        <x:v>Test</x:v>
      </x:c>
    </x:row>
    <x:row r="140">
      <x:c r="A140" t="n">
        <x:f>Adimensional_A!A140</x:f>
        <x:v>138</x:v>
      </x:c>
      <x:c r="B140" t="n">
        <x:f>Adimensional_A!B140</x:f>
        <x:v>6.18</x:v>
      </x:c>
      <x:c r="C140" t="n">
        <x:f>Adimensional_A!C140</x:f>
        <x:v>0.9910737726437403</x:v>
      </x:c>
      <x:c r="D140" t="n">
        <x:f>Adimensional_A!D140</x:f>
        <x:v>1.833</x:v>
      </x:c>
      <x:c r="E140" t="n">
        <x:f>(Adimensional_A!B140-Reference_Stats!$B$2)/Reference_Stats!$C$2</x:f>
        <x:v>0.08593760099873782</x:v>
      </x:c>
      <x:c r="F140" t="n">
        <x:f>(Adimensional_A!C140-Reference_Stats!$B$3)/Reference_Stats!$C$3</x:f>
        <x:v>-0.03338600179274276</x:v>
      </x:c>
      <x:c r="G140" t="n">
        <x:f>(Adimensional_A!D140-Reference_Stats!$B$4)/Reference_Stats!$C$4</x:f>
        <x:v>1.6986997669075252</x:v>
      </x:c>
      <x:c r="H140" t="n">
        <x:f>Adimensional_A!E140</x:f>
        <x:v>7.2</x:v>
      </x:c>
      <x:c r="I140" t="n">
        <x:f>Adimensional_A!F140</x:f>
        <x:v>2.4</x:v>
      </x:c>
      <x:c r="J140" t="n">
        <x:f>Adimensional_A!G140</x:f>
        <x:v>19.6</x:v>
      </x:c>
      <x:c r="K140" t="n">
        <x:f>(Adimensional_A!E140-Reference_Stats!$B$5)/Reference_Stats!$C$5</x:f>
        <x:v>-0.09368564892860007</x:v>
      </x:c>
      <x:c r="L140" t="n">
        <x:f>(Adimensional_A!F140-Reference_Stats!$B$6)/Reference_Stats!$C$6</x:f>
        <x:v>-0.48419893603816133</x:v>
      </x:c>
      <x:c r="M140" t="n">
        <x:f>(Adimensional_A!G140-Reference_Stats!$B$7)/Reference_Stats!$C$7</x:f>
        <x:v>-0.6438292330845742</x:v>
      </x:c>
      <x:c r="N140" t="str">
        <x:f>Adimensional_A!I140</x:f>
        <x:v>γ≈1.93</x:v>
      </x:c>
      <x:c r="O140" t="str">
        <x:f>Adimensional_A!J140</x:f>
        <x:v>Train</x:v>
      </x:c>
    </x:row>
    <x:row r="141">
      <x:c r="A141" t="n">
        <x:f>Adimensional_A!A141</x:f>
        <x:v>139</x:v>
      </x:c>
      <x:c r="B141" t="n">
        <x:f>Adimensional_A!B141</x:f>
        <x:v>4.94</x:v>
      </x:c>
      <x:c r="C141" t="n">
        <x:f>Adimensional_A!C141</x:f>
        <x:v>1.3478603307954866</x:v>
      </x:c>
      <x:c r="D141" t="n">
        <x:f>Adimensional_A!D141</x:f>
        <x:v>1.85</x:v>
      </x:c>
      <x:c r="E141" t="n">
        <x:f>(Adimensional_A!B141-Reference_Stats!$B$2)/Reference_Stats!$C$2</x:f>
        <x:v>-0.6115464220183232</x:v>
      </x:c>
      <x:c r="F141" t="n">
        <x:f>(Adimensional_A!C141-Reference_Stats!$B$3)/Reference_Stats!$C$3</x:f>
        <x:v>1.3010721286877727</x:v>
      </x:c>
      <x:c r="G141" t="n">
        <x:f>(Adimensional_A!D141-Reference_Stats!$B$4)/Reference_Stats!$C$4</x:f>
        <x:v>1.7538765033163326</x:v>
      </x:c>
      <x:c r="H141" t="n">
        <x:f>Adimensional_A!E141</x:f>
        <x:v>5.294117647058823</x:v>
      </x:c>
      <x:c r="I141" t="n">
        <x:f>Adimensional_A!F141</x:f>
        <x:v>1.7647058823529411</x:v>
      </x:c>
      <x:c r="J141" t="n">
        <x:f>Adimensional_A!G141</x:f>
        <x:v>13.823529411764707</x:v>
      </x:c>
      <x:c r="K141" t="n">
        <x:f>(Adimensional_A!E141-Reference_Stats!$B$5)/Reference_Stats!$C$5</x:f>
        <x:v>-0.8643910216114328</x:v>
      </x:c>
      <x:c r="L141" t="n">
        <x:f>(Adimensional_A!F141-Reference_Stats!$B$6)/Reference_Stats!$C$6</x:f>
        <x:v>-0.9753871676203689</x:v>
      </x:c>
      <x:c r="M141" t="n">
        <x:f>(Adimensional_A!G141-Reference_Stats!$B$7)/Reference_Stats!$C$7</x:f>
        <x:v>-1.1301454636384216</x:v>
      </x:c>
      <x:c r="N141" t="str">
        <x:f>Adimensional_A!I141</x:f>
        <x:v>γ≈1.93</x:v>
      </x:c>
      <x:c r="O141" t="str">
        <x:f>Adimensional_A!J141</x:f>
        <x:v>Test</x:v>
      </x:c>
    </x:row>
    <x:row r="142">
      <x:c r="A142" t="n">
        <x:f>Adimensional_A!A142</x:f>
        <x:v>140</x:v>
      </x:c>
      <x:c r="B142" t="n">
        <x:f>Adimensional_A!B142</x:f>
        <x:v>7.93</x:v>
      </x:c>
      <x:c r="C142" t="n">
        <x:f>Adimensional_A!C142</x:f>
        <x:v>0.9514308217379907</x:v>
      </x:c>
      <x:c r="D142" t="n">
        <x:f>Adimensional_A!D142</x:f>
        <x:v>1.871</x:v>
      </x:c>
      <x:c r="E142" t="n">
        <x:f>(Adimensional_A!B142-Reference_Stats!$B$2)/Reference_Stats!$C$2</x:f>
        <x:v>1.0702900528373325</x:v>
      </x:c>
      <x:c r="F142" t="n">
        <x:f>(Adimensional_A!C142-Reference_Stats!$B$3)/Reference_Stats!$C$3</x:f>
        <x:v>-0.18165912740168916</x:v>
      </x:c>
      <x:c r="G142" t="n">
        <x:f>(Adimensional_A!D142-Reference_Stats!$B$4)/Reference_Stats!$C$4</x:f>
        <x:v>1.822036001233094</x:v>
      </x:c>
      <x:c r="H142" t="n">
        <x:f>Adimensional_A!E142</x:f>
        <x:v>9.625000000000002</x:v>
      </x:c>
      <x:c r="I142" t="n">
        <x:f>Adimensional_A!F142</x:f>
        <x:v>3.3333333333333335</x:v>
      </x:c>
      <x:c r="J142" t="n">
        <x:f>Adimensional_A!G142</x:f>
        <x:v>25.833333333333336</x:v>
      </x:c>
      <x:c r="K142" t="n">
        <x:f>(Adimensional_A!E142-Reference_Stats!$B$5)/Reference_Stats!$C$5</x:f>
        <x:v>0.8869417889988627</x:v>
      </x:c>
      <x:c r="L142" t="n">
        <x:f>(Adimensional_A!F142-Reference_Stats!$B$6)/Reference_Stats!$C$6</x:f>
        <x:v>0.23742328073076113</x:v>
      </x:c>
      <x:c r="M142" t="n">
        <x:f>(Adimensional_A!G142-Reference_Stats!$B$7)/Reference_Stats!$C$7</x:f>
        <x:v>-0.11905010989018154</x:v>
      </x:c>
      <x:c r="N142" t="str">
        <x:f>Adimensional_A!I142</x:f>
        <x:v>γ≈1.93</x:v>
      </x:c>
      <x:c r="O142" t="str">
        <x:f>Adimensional_A!J142</x:f>
        <x:v>Train</x:v>
      </x:c>
    </x:row>
    <x:row r="143">
      <x:c r="A143" t="n">
        <x:f>Adimensional_A!A143</x:f>
        <x:v>141</x:v>
      </x:c>
      <x:c r="B143" t="n">
        <x:f>Adimensional_A!B143</x:f>
        <x:v>6.26</x:v>
      </x:c>
      <x:c r="C143" t="n">
        <x:f>Adimensional_A!C143</x:f>
        <x:v>0.9514308217379907</x:v>
      </x:c>
      <x:c r="D143" t="n">
        <x:f>Adimensional_A!D143</x:f>
        <x:v>1.903</x:v>
      </x:c>
      <x:c r="E143" t="n">
        <x:f>(Adimensional_A!B143-Reference_Stats!$B$2)/Reference_Stats!$C$2</x:f>
        <x:v>0.13093657022564506</x:v>
      </x:c>
      <x:c r="F143" t="n">
        <x:f>(Adimensional_A!C143-Reference_Stats!$B$3)/Reference_Stats!$C$3</x:f>
        <x:v>-0.18165912740168916</x:v>
      </x:c>
      <x:c r="G143" t="n">
        <x:f>(Adimensional_A!D143-Reference_Stats!$B$4)/Reference_Stats!$C$4</x:f>
        <x:v>1.925898093296731</x:v>
      </x:c>
      <x:c r="H143" t="n">
        <x:f>Adimensional_A!E143</x:f>
        <x:v>7.625000000000001</x:v>
      </x:c>
      <x:c r="I143" t="n">
        <x:f>Adimensional_A!F143</x:f>
        <x:v>2.5</x:v>
      </x:c>
      <x:c r="J143" t="n">
        <x:f>Adimensional_A!G143</x:f>
        <x:v>19.166666666666668</x:v>
      </x:c>
      <x:c r="K143" t="n">
        <x:f>(Adimensional_A!E143-Reference_Stats!$B$5)/Reference_Stats!$C$5</x:f>
        <x:v>0.07817689173909975</x:v>
      </x:c>
      <x:c r="L143" t="n">
        <x:f>(Adimensional_A!F143-Reference_Stats!$B$6)/Reference_Stats!$C$6</x:f>
        <x:v>-0.4068822699557767</x:v>
      </x:c>
      <x:c r="M143" t="n">
        <x:f>(Adimensional_A!G143-Reference_Stats!$B$7)/Reference_Stats!$C$7</x:f>
        <x:v>-0.6803112042157352</x:v>
      </x:c>
      <x:c r="N143" t="str">
        <x:f>Adimensional_A!I143</x:f>
        <x:v>γ≈1.93</x:v>
      </x:c>
      <x:c r="O143" t="str">
        <x:f>Adimensional_A!J143</x:f>
        <x:v>Train</x:v>
      </x:c>
    </x:row>
    <x:row r="144">
      <x:c r="A144" t="n">
        <x:f>Adimensional_A!A144</x:f>
        <x:v>142</x:v>
      </x:c>
      <x:c r="B144" t="n">
        <x:f>Adimensional_A!B144</x:f>
        <x:v>7.29</x:v>
      </x:c>
      <x:c r="C144" t="n">
        <x:f>Adimensional_A!C144</x:f>
        <x:v>0.9514308217379907</x:v>
      </x:c>
      <x:c r="D144" t="n">
        <x:f>Adimensional_A!D144</x:f>
        <x:v>1.95</x:v>
      </x:c>
      <x:c r="E144" t="n">
        <x:f>(Adimensional_A!B144-Reference_Stats!$B$2)/Reference_Stats!$C$2</x:f>
        <x:v>0.7102982990220752</x:v>
      </x:c>
      <x:c r="F144" t="n">
        <x:f>(Adimensional_A!C144-Reference_Stats!$B$3)/Reference_Stats!$C$3</x:f>
        <x:v>-0.18165912740168916</x:v>
      </x:c>
      <x:c r="G144" t="n">
        <x:f>(Adimensional_A!D144-Reference_Stats!$B$4)/Reference_Stats!$C$4</x:f>
        <x:v>2.0784455410151974</x:v>
      </x:c>
      <x:c r="H144" t="n">
        <x:f>Adimensional_A!E144</x:f>
        <x:v>8.5</x:v>
      </x:c>
      <x:c r="I144" t="n">
        <x:f>Adimensional_A!F144</x:f>
        <x:v>2.916666666666667</x:v>
      </x:c>
      <x:c r="J144" t="n">
        <x:f>Adimensional_A!G144</x:f>
        <x:v>22.5</x:v>
      </x:c>
      <x:c r="K144" t="n">
        <x:f>(Adimensional_A!E144-Reference_Stats!$B$5)/Reference_Stats!$C$5</x:f>
        <x:v>0.4320115342902455</x:v>
      </x:c>
      <x:c r="L144" t="n">
        <x:f>(Adimensional_A!F144-Reference_Stats!$B$6)/Reference_Stats!$C$6</x:f>
        <x:v>-0.08472949461250763</x:v>
      </x:c>
      <x:c r="M144" t="n">
        <x:f>(Adimensional_A!G144-Reference_Stats!$B$7)/Reference_Stats!$C$7</x:f>
        <x:v>-0.3996806570529585</x:v>
      </x:c>
      <x:c r="N144" t="str">
        <x:f>Adimensional_A!I144</x:f>
        <x:v>γ≈1.93</x:v>
      </x:c>
      <x:c r="O144" t="str">
        <x:f>Adimensional_A!J144</x:f>
        <x:v>Train</x:v>
      </x:c>
    </x:row>
    <x:row r="145">
      <x:c r="A145" t="n">
        <x:f>Adimensional_A!A145</x:f>
        <x:v>143</x:v>
      </x:c>
      <x:c r="B145" t="n">
        <x:f>Adimensional_A!B145</x:f>
        <x:v>5.31</x:v>
      </x:c>
      <x:c r="C145" t="n">
        <x:f>Adimensional_A!C145</x:f>
        <x:v>1.3478603307954866</x:v>
      </x:c>
      <x:c r="D145" t="n">
        <x:f>Adimensional_A!D145</x:f>
        <x:v>1.996</x:v>
      </x:c>
      <x:c r="E145" t="n">
        <x:f>(Adimensional_A!B145-Reference_Stats!$B$2)/Reference_Stats!$C$2</x:f>
        <x:v>-0.4034261893438779</x:v>
      </x:c>
      <x:c r="F145" t="n">
        <x:f>(Adimensional_A!C145-Reference_Stats!$B$3)/Reference_Stats!$C$3</x:f>
        <x:v>1.3010721286877727</x:v>
      </x:c>
      <x:c r="G145" t="n">
        <x:f>(Adimensional_A!D145-Reference_Stats!$B$4)/Reference_Stats!$C$4</x:f>
        <x:v>2.2277472983566753</x:v>
      </x:c>
      <x:c r="H145" t="n">
        <x:f>Adimensional_A!E145</x:f>
        <x:v>5.4411764705882355</x:v>
      </x:c>
      <x:c r="I145" t="n">
        <x:f>Adimensional_A!F145</x:f>
        <x:v>1.7647058823529411</x:v>
      </x:c>
      <x:c r="J145" t="n">
        <x:f>Adimensional_A!G145</x:f>
        <x:v>13.823529411764707</x:v>
      </x:c>
      <x:c r="K145" t="n">
        <x:f>(Adimensional_A!E145-Reference_Stats!$B$5)/Reference_Stats!$C$5</x:f>
        <x:v>-0.8049230144599795</x:v>
      </x:c>
      <x:c r="L145" t="n">
        <x:f>(Adimensional_A!F145-Reference_Stats!$B$6)/Reference_Stats!$C$6</x:f>
        <x:v>-0.9753871676203689</x:v>
      </x:c>
      <x:c r="M145" t="n">
        <x:f>(Adimensional_A!G145-Reference_Stats!$B$7)/Reference_Stats!$C$7</x:f>
        <x:v>-1.1301454636384216</x:v>
      </x:c>
      <x:c r="N145" t="str">
        <x:f>Adimensional_A!I145</x:f>
        <x:v>γ≈1.93</x:v>
      </x:c>
      <x:c r="O145" t="str">
        <x:f>Adimensional_A!J145</x:f>
        <x:v>Train</x:v>
      </x:c>
    </x:row>
    <x:row r="146">
      <x:c r="A146" t="n">
        <x:f>Adimensional_A!A146</x:f>
        <x:v>144</x:v>
      </x:c>
      <x:c r="B146" t="n">
        <x:f>Adimensional_A!B146</x:f>
        <x:v>5.6</x:v>
      </x:c>
      <x:c r="C146" t="n">
        <x:f>Adimensional_A!C146</x:f>
        <x:v>0.9514308217379907</x:v>
      </x:c>
      <x:c r="D146" t="n">
        <x:f>Adimensional_A!D146</x:f>
        <x:v>1.998</x:v>
      </x:c>
      <x:c r="E146" t="n">
        <x:f>(Adimensional_A!B146-Reference_Stats!$B$2)/Reference_Stats!$C$2</x:f>
        <x:v>-0.24030492589633934</x:v>
      </x:c>
      <x:c r="F146" t="n">
        <x:f>(Adimensional_A!C146-Reference_Stats!$B$3)/Reference_Stats!$C$3</x:f>
        <x:v>-0.18165912740168916</x:v>
      </x:c>
      <x:c r="G146" t="n">
        <x:f>(Adimensional_A!D146-Reference_Stats!$B$4)/Reference_Stats!$C$4</x:f>
        <x:v>2.2342386791106525</x:v>
      </x:c>
      <x:c r="H146" t="n">
        <x:f>Adimensional_A!E146</x:f>
        <x:v>6.708333333333334</x:v>
      </x:c>
      <x:c r="I146" t="n">
        <x:f>Adimensional_A!F146</x:f>
        <x:v>2.0833333333333335</x:v>
      </x:c>
      <x:c r="J146" t="n">
        <x:f>Adimensional_A!G146</x:f>
        <x:v>15.833333333333334</x:v>
      </x:c>
      <x:c r="K146" t="n">
        <x:f>(Adimensional_A!E146-Reference_Stats!$B$5)/Reference_Stats!$C$5</x:f>
        <x:v>-0.2925070195049582</x:v>
      </x:c>
      <x:c r="L146" t="n">
        <x:f>(Adimensional_A!F146-Reference_Stats!$B$6)/Reference_Stats!$C$6</x:f>
        <x:v>-0.7290350452990455</x:v>
      </x:c>
      <x:c r="M146" t="n">
        <x:f>(Adimensional_A!G146-Reference_Stats!$B$7)/Reference_Stats!$C$7</x:f>
        <x:v>-0.960941751378512</x:v>
      </x:c>
      <x:c r="N146" t="str">
        <x:f>Adimensional_A!I146</x:f>
        <x:v>γ≈1.93</x:v>
      </x:c>
      <x:c r="O146" t="str">
        <x:f>Adimensional_A!J146</x:f>
        <x:v>Test</x:v>
      </x:c>
    </x:row>
    <x:row r="147">
      <x:c r="A147" t="n">
        <x:f>Adimensional_A!A147</x:f>
        <x:v>145</x:v>
      </x:c>
      <x:c r="B147" t="n">
        <x:f>Adimensional_A!B147</x:f>
        <x:v>6.51</x:v>
      </x:c>
      <x:c r="C147" t="n">
        <x:f>Adimensional_A!C147</x:f>
        <x:v>0.7532160672092426</x:v>
      </x:c>
      <x:c r="D147" t="n">
        <x:f>Adimensional_A!D147</x:f>
        <x:v>2.022</x:v>
      </x:c>
      <x:c r="E147" t="n">
        <x:f>(Adimensional_A!B147-Reference_Stats!$B$2)/Reference_Stats!$C$2</x:f>
        <x:v>0.27155834905973003</x:v>
      </x:c>
      <x:c r="F147" t="n">
        <x:f>(Adimensional_A!C147-Reference_Stats!$B$3)/Reference_Stats!$C$3</x:f>
        <x:v>-0.9230247554464203</x:v>
      </x:c>
      <x:c r="G147" t="n">
        <x:f>(Adimensional_A!D147-Reference_Stats!$B$4)/Reference_Stats!$C$4</x:f>
        <x:v>2.3121352481583797</x:v>
      </x:c>
      <x:c r="H147" t="n">
        <x:f>Adimensional_A!E147</x:f>
        <x:v>7.36842105263158</x:v>
      </x:c>
      <x:c r="I147" t="n">
        <x:f>Adimensional_A!F147</x:f>
        <x:v>2.6315789473684212</x:v>
      </x:c>
      <x:c r="J147" t="n">
        <x:f>Adimensional_A!G147</x:f>
        <x:v>18.947368421052634</x:v>
      </x:c>
      <x:c r="K147" t="n">
        <x:f>(Adimensional_A!E147-Reference_Stats!$B$5)/Reference_Stats!$C$5</x:f>
        <x:v>-0.025579131264619855</x:v>
      </x:c>
      <x:c r="L147" t="n">
        <x:f>(Adimensional_A!F147-Reference_Stats!$B$6)/Reference_Stats!$C$6</x:f>
        <x:v>-0.30514981458421797</x:v>
      </x:c>
      <x:c r="M147" t="n">
        <x:f>(Adimensional_A!G147-Reference_Stats!$B$7)/Reference_Stats!$C$7</x:f>
        <x:v>-0.6987737402132862</x:v>
      </x:c>
      <x:c r="N147" t="str">
        <x:f>Adimensional_A!I147</x:f>
        <x:v>γ≈1.93</x:v>
      </x:c>
      <x:c r="O147" t="str">
        <x:f>Adimensional_A!J147</x:f>
        <x:v>Train</x:v>
      </x:c>
    </x:row>
    <x:row r="148">
      <x:c r="A148" t="n">
        <x:f>Adimensional_A!A148</x:f>
        <x:v>146</x:v>
      </x:c>
      <x:c r="B148" t="n">
        <x:f>Adimensional_A!B148</x:f>
        <x:v>6.68</x:v>
      </x:c>
      <x:c r="C148" t="n">
        <x:f>Adimensional_A!C148</x:f>
        <x:v>0.9514308217379907</x:v>
      </x:c>
      <x:c r="D148" t="n">
        <x:f>Adimensional_A!D148</x:f>
        <x:v>2.064</x:v>
      </x:c>
      <x:c r="E148" t="n">
        <x:f>(Adimensional_A!B148-Reference_Stats!$B$2)/Reference_Stats!$C$2</x:f>
        <x:v>0.36718115866690776</x:v>
      </x:c>
      <x:c r="F148" t="n">
        <x:f>(Adimensional_A!C148-Reference_Stats!$B$3)/Reference_Stats!$C$3</x:f>
        <x:v>-0.18165912740168916</x:v>
      </x:c>
      <x:c r="G148" t="n">
        <x:f>(Adimensional_A!D148-Reference_Stats!$B$4)/Reference_Stats!$C$4</x:f>
        <x:v>2.448454243991904</x:v>
      </x:c>
      <x:c r="H148" t="n">
        <x:f>Adimensional_A!E148</x:f>
        <x:v>8.208333333333334</x:v>
      </x:c>
      <x:c r="I148" t="n">
        <x:f>Adimensional_A!F148</x:f>
        <x:v>2.5</x:v>
      </x:c>
      <x:c r="J148" t="n">
        <x:f>Adimensional_A!G148</x:f>
        <x:v>19.166666666666668</x:v>
      </x:c>
      <x:c r="K148" t="n">
        <x:f>(Adimensional_A!E148-Reference_Stats!$B$5)/Reference_Stats!$C$5</x:f>
        <x:v>0.31406665343986373</x:v>
      </x:c>
      <x:c r="L148" t="n">
        <x:f>(Adimensional_A!F148-Reference_Stats!$B$6)/Reference_Stats!$C$6</x:f>
        <x:v>-0.4068822699557767</x:v>
      </x:c>
      <x:c r="M148" t="n">
        <x:f>(Adimensional_A!G148-Reference_Stats!$B$7)/Reference_Stats!$C$7</x:f>
        <x:v>-0.6803112042157352</x:v>
      </x:c>
      <x:c r="N148" t="str">
        <x:f>Adimensional_A!I148</x:f>
        <x:v>γ≈1.93</x:v>
      </x:c>
      <x:c r="O148" t="str">
        <x:f>Adimensional_A!J148</x:f>
        <x:v>Train</x:v>
      </x:c>
    </x:row>
    <x:row r="149">
      <x:c r="A149" t="n">
        <x:f>Adimensional_A!A149</x:f>
        <x:v>147</x:v>
      </x:c>
      <x:c r="B149" t="n">
        <x:f>Adimensional_A!B149</x:f>
        <x:v>7.77</x:v>
      </x:c>
      <x:c r="C149" t="n">
        <x:f>Adimensional_A!C149</x:f>
        <x:v>0.9514308217379907</x:v>
      </x:c>
      <x:c r="D149" t="n">
        <x:f>Adimensional_A!D149</x:f>
        <x:v>2.099</x:v>
      </x:c>
      <x:c r="E149" t="n">
        <x:f>(Adimensional_A!B149-Reference_Stats!$B$2)/Reference_Stats!$C$2</x:f>
        <x:v>0.9802921143835182</x:v>
      </x:c>
      <x:c r="F149" t="n">
        <x:f>(Adimensional_A!C149-Reference_Stats!$B$3)/Reference_Stats!$C$3</x:f>
        <x:v>-0.18165912740168916</x:v>
      </x:c>
      <x:c r="G149" t="n">
        <x:f>(Adimensional_A!D149-Reference_Stats!$B$4)/Reference_Stats!$C$4</x:f>
        <x:v>2.562053407186507</x:v>
      </x:c>
      <x:c r="H149" t="n">
        <x:f>Adimensional_A!E149</x:f>
        <x:v>9.458333333333334</x:v>
      </x:c>
      <x:c r="I149" t="n">
        <x:f>Adimensional_A!F149</x:f>
        <x:v>2.916666666666667</x:v>
      </x:c>
      <x:c r="J149" t="n">
        <x:f>Adimensional_A!G149</x:f>
        <x:v>22.5</x:v>
      </x:c>
      <x:c r="K149" t="n">
        <x:f>(Adimensional_A!E149-Reference_Stats!$B$5)/Reference_Stats!$C$5</x:f>
        <x:v>0.8195447142272153</x:v>
      </x:c>
      <x:c r="L149" t="n">
        <x:f>(Adimensional_A!F149-Reference_Stats!$B$6)/Reference_Stats!$C$6</x:f>
        <x:v>-0.08472949461250763</x:v>
      </x:c>
      <x:c r="M149" t="n">
        <x:f>(Adimensional_A!G149-Reference_Stats!$B$7)/Reference_Stats!$C$7</x:f>
        <x:v>-0.3996806570529585</x:v>
      </x:c>
      <x:c r="N149" t="str">
        <x:f>Adimensional_A!I149</x:f>
        <x:v>γ≈1.93</x:v>
      </x:c>
      <x:c r="O149" t="str">
        <x:f>Adimensional_A!J149</x:f>
        <x:v>Train</x:v>
      </x:c>
    </x:row>
    <x:row r="150">
      <x:c r="A150" t="n">
        <x:f>Adimensional_A!A150</x:f>
        <x:v>148</x:v>
      </x:c>
      <x:c r="B150" t="n">
        <x:f>Adimensional_A!B150</x:f>
        <x:v>4.94</x:v>
      </x:c>
      <x:c r="C150" t="n">
        <x:f>Adimensional_A!C150</x:f>
        <x:v>1.0703596744552395</x:v>
      </x:c>
      <x:c r="D150" t="n">
        <x:f>Adimensional_A!D150</x:f>
        <x:v>2.121</x:v>
      </x:c>
      <x:c r="E150" t="n">
        <x:f>(Adimensional_A!B150-Reference_Stats!$B$2)/Reference_Stats!$C$2</x:f>
        <x:v>-0.6115464220183232</x:v>
      </x:c>
      <x:c r="F150" t="n">
        <x:f>(Adimensional_A!C150-Reference_Stats!$B$3)/Reference_Stats!$C$3</x:f>
        <x:v>0.2631602494251496</x:v>
      </x:c>
      <x:c r="G150" t="n">
        <x:f>(Adimensional_A!D150-Reference_Stats!$B$4)/Reference_Stats!$C$4</x:f>
        <x:v>2.6334585954802567</x:v>
      </x:c>
      <x:c r="H150" t="n">
        <x:f>Adimensional_A!E150</x:f>
        <x:v>5.259259259259259</x:v>
      </x:c>
      <x:c r="I150" t="n">
        <x:f>Adimensional_A!F150</x:f>
        <x:v>1.6666666666666665</x:v>
      </x:c>
      <x:c r="J150" t="n">
        <x:f>Adimensional_A!G150</x:f>
        <x:v>12.592592592592592</x:v>
      </x:c>
      <x:c r="K150" t="n">
        <x:f>(Adimensional_A!E150-Reference_Stats!$B$5)/Reference_Stats!$C$5</x:f>
        <x:v>-0.8784871418251107</x:v>
      </x:c>
      <x:c r="L150" t="n">
        <x:f>(Adimensional_A!F150-Reference_Stats!$B$6)/Reference_Stats!$C$6</x:f>
        <x:v>-1.0511878206423146</x:v>
      </x:c>
      <x:c r="M150" t="n">
        <x:f>(Adimensional_A!G150-Reference_Stats!$B$7)/Reference_Stats!$C$7</x:f>
        <x:v>-1.2337770055645452</x:v>
      </x:c>
      <x:c r="N150" t="str">
        <x:f>Adimensional_A!I150</x:f>
        <x:v>γ≈1.93</x:v>
      </x:c>
      <x:c r="O150" t="str">
        <x:f>Adimensional_A!J150</x:f>
        <x:v>Train</x:v>
      </x:c>
    </x:row>
    <x:row r="151">
      <x:c r="A151" t="n">
        <x:f>Adimensional_A!A151</x:f>
        <x:v>149</x:v>
      </x:c>
      <x:c r="B151" t="n">
        <x:f>Adimensional_A!B151</x:f>
        <x:v>5.84</x:v>
      </x:c>
      <x:c r="C151" t="n">
        <x:f>Adimensional_A!C151</x:f>
        <x:v>0.9514308217379907</x:v>
      </x:c>
      <x:c r="D151" t="n">
        <x:f>Adimensional_A!D151</x:f>
        <x:v>2.167</x:v>
      </x:c>
      <x:c r="E151" t="n">
        <x:f>(Adimensional_A!B151-Reference_Stats!$B$2)/Reference_Stats!$C$2</x:f>
        <x:v>-0.10530801821561765</x:v>
      </x:c>
      <x:c r="F151" t="n">
        <x:f>(Adimensional_A!C151-Reference_Stats!$B$3)/Reference_Stats!$C$3</x:f>
        <x:v>-0.18165912740168916</x:v>
      </x:c>
      <x:c r="G151" t="n">
        <x:f>(Adimensional_A!D151-Reference_Stats!$B$4)/Reference_Stats!$C$4</x:f>
        <x:v>2.782760352821734</x:v>
      </x:c>
      <x:c r="H151" t="n">
        <x:f>Adimensional_A!E151</x:f>
        <x:v>6.75</x:v>
      </x:c>
      <x:c r="I151" t="n">
        <x:f>Adimensional_A!F151</x:f>
        <x:v>2.0833333333333335</x:v>
      </x:c>
      <x:c r="J151" t="n">
        <x:f>Adimensional_A!G151</x:f>
        <x:v>15.416666666666668</x:v>
      </x:c>
      <x:c r="K151" t="n">
        <x:f>(Adimensional_A!E151-Reference_Stats!$B$5)/Reference_Stats!$C$5</x:f>
        <x:v>-0.27565775081204674</x:v>
      </x:c>
      <x:c r="L151" t="n">
        <x:f>(Adimensional_A!F151-Reference_Stats!$B$6)/Reference_Stats!$C$6</x:f>
        <x:v>-0.7290350452990455</x:v>
      </x:c>
      <x:c r="M151" t="n">
        <x:f>(Adimensional_A!G151-Reference_Stats!$B$7)/Reference_Stats!$C$7</x:f>
        <x:v>-0.9960205697738591</x:v>
      </x:c>
      <x:c r="N151" t="str">
        <x:f>Adimensional_A!I151</x:f>
        <x:v>γ≈1.93</x:v>
      </x:c>
      <x:c r="O151" t="str">
        <x:f>Adimensional_A!J151</x:f>
        <x:v>Train</x:v>
      </x:c>
    </x:row>
    <x:row r="152">
      <x:c r="A152" t="n">
        <x:f>Adimensional_A!A152</x:f>
        <x:v>150</x:v>
      </x:c>
      <x:c r="B152" t="n">
        <x:f>Adimensional_A!B152</x:f>
        <x:v>4.54</x:v>
      </x:c>
      <x:c r="C152" t="n">
        <x:f>Adimensional_A!C152</x:f>
        <x:v>1.3478603307954866</x:v>
      </x:c>
      <x:c r="D152" t="n">
        <x:f>Adimensional_A!D152</x:f>
        <x:v>2.217</x:v>
      </x:c>
      <x:c r="E152" t="n">
        <x:f>(Adimensional_A!B152-Reference_Stats!$B$2)/Reference_Stats!$C$2</x:f>
        <x:v>-0.8365412681528593</x:v>
      </x:c>
      <x:c r="F152" t="n">
        <x:f>(Adimensional_A!C152-Reference_Stats!$B$3)/Reference_Stats!$C$3</x:f>
        <x:v>1.3010721286877727</x:v>
      </x:c>
      <x:c r="G152" t="n">
        <x:f>(Adimensional_A!D152-Reference_Stats!$B$4)/Reference_Stats!$C$4</x:f>
        <x:v>2.9450448716711675</x:v>
      </x:c>
      <x:c r="H152" t="n">
        <x:f>Adimensional_A!E152</x:f>
        <x:v>4.705882352941177</x:v>
      </x:c>
      <x:c r="I152" t="n">
        <x:f>Adimensional_A!F152</x:f>
        <x:v>1.4705882352941178</x:v>
      </x:c>
      <x:c r="J152" t="n">
        <x:f>Adimensional_A!G152</x:f>
        <x:v>10.294117647058824</x:v>
      </x:c>
      <x:c r="K152" t="n">
        <x:f>(Adimensional_A!E152-Reference_Stats!$B$5)/Reference_Stats!$C$5</x:f>
        <x:v>-1.1022630502172452</x:v>
      </x:c>
      <x:c r="L152" t="n">
        <x:f>(Adimensional_A!F152-Reference_Stats!$B$6)/Reference_Stats!$C$6</x:f>
        <x:v>-1.2027891266862056</x:v>
      </x:c>
      <x:c r="M152" t="n">
        <x:f>(Adimensional_A!G152-Reference_Stats!$B$7)/Reference_Stats!$C$7</x:f>
        <x:v>-1.4272836900460675</x:v>
      </x:c>
      <x:c r="N152" t="str">
        <x:f>Adimensional_A!I152</x:f>
        <x:v>γ≈1.93</x:v>
      </x:c>
      <x:c r="O152" t="str">
        <x:f>Adimensional_A!J152</x:f>
        <x:v>Train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.140625" defaultRowHeight="15"/>
  <x:sheetData>
    <x:row r="1">
      <x:c r="A1" t="s">
        <x:v>30</x:v>
      </x:c>
      <x:c r="B1" t="s">
        <x:v>31</x:v>
      </x:c>
      <x:c r="C1" t="s">
        <x:v>32</x:v>
      </x:c>
      <x:c r="D1" t="s">
        <x:v>33</x:v>
      </x:c>
      <x:c r="E1" t="s">
        <x:v>34</x:v>
      </x:c>
    </x:row>
    <x:row r="2">
      <x:c r="A2" t="s">
        <x:v>2</x:v>
      </x:c>
      <x:c r="B2" t="n">
        <x:f>AVERAGE(Adimensional_A!B2:B152)</x:f>
        <x:v>6.027218543046357</x:v>
      </x:c>
      <x:c r="C2" t="n">
        <x:f>STDEV.P(Adimensional_A!B2:B152)</x:f>
        <x:v>1.7778185006105407</x:v>
      </x:c>
      <x:c r="D2" t="s">
        <x:v>35</x:v>
      </x:c>
      <x:c r="E2" t="s">
        <x:v>36</x:v>
      </x:c>
    </x:row>
    <x:row r="3">
      <x:c r="A3" t="s">
        <x:v>19</x:v>
      </x:c>
      <x:c r="B3" t="n">
        <x:f>AVERAGE(Adimensional_A!C2:C152)</x:f>
        <x:v>1.0000000000000018</x:v>
      </x:c>
      <x:c r="C3" t="n">
        <x:f>STDEV.P(Adimensional_A!C2:C152)</x:f>
        <x:v>0.2673643706028256</x:v>
      </x:c>
      <x:c r="D3" t="s">
        <x:v>35</x:v>
      </x:c>
      <x:c r="E3" t="s">
        <x:v>36</x:v>
      </x:c>
    </x:row>
    <x:row r="4">
      <x:c r="A4" t="s">
        <x:v>7</x:v>
      </x:c>
      <x:c r="B4" t="n">
        <x:f>AVERAGE(Adimensional_A!D2:D152)</x:f>
        <x:v>1.3096291390728472</x:v>
      </x:c>
      <x:c r="C4" t="n">
        <x:f>STDEV.P(Adimensional_A!D2:D152)</x:f>
        <x:v>0.308100861095629</x:v>
      </x:c>
      <x:c r="D4" t="s">
        <x:v>35</x:v>
      </x:c>
      <x:c r="E4" t="s">
        <x:v>36</x:v>
      </x:c>
    </x:row>
    <x:row r="5">
      <x:c r="A5" t="s">
        <x:v>20</x:v>
      </x:c>
      <x:c r="B5" t="n">
        <x:f>AVERAGE(Adimensional_A!E2:E152)</x:f>
        <x:v>7.431675853504581</x:v>
      </x:c>
      <x:c r="C5" t="n">
        <x:f>STDEV.P(Adimensional_A!E2:E152)</x:f>
        <x:v>2.472906535355764</x:v>
      </x:c>
      <x:c r="D5" t="s">
        <x:v>35</x:v>
      </x:c>
      <x:c r="E5" t="s">
        <x:v>37</x:v>
      </x:c>
    </x:row>
    <x:row r="6">
      <x:c r="A6" t="s">
        <x:v>21</x:v>
      </x:c>
      <x:c r="B6" t="n">
        <x:f>AVERAGE(Adimensional_A!F2:F152)</x:f>
        <x:v>3.0262542871704072</x:v>
      </x:c>
      <x:c r="C6" t="n">
        <x:f>STDEV.P(Adimensional_A!F2:F152)</x:f>
        <x:v>1.2933822042125473</x:v>
      </x:c>
      <x:c r="D6" t="s">
        <x:v>35</x:v>
      </x:c>
      <x:c r="E6" t="s">
        <x:v>37</x:v>
      </x:c>
    </x:row>
    <x:row r="7">
      <x:c r="A7" t="s">
        <x:v>22</x:v>
      </x:c>
      <x:c r="B7" t="n">
        <x:f>AVERAGE(Adimensional_A!G2:G152)</x:f>
        <x:v>27.2474121057478</x:v>
      </x:c>
      <x:c r="C7" t="n">
        <x:f>STDEV.P(Adimensional_A!G2:G152)</x:f>
        <x:v>11.878013163691223</x:v>
      </x:c>
      <x:c r="D7" t="s">
        <x:v>35</x:v>
      </x:c>
      <x:c r="E7" t="s">
        <x:v>37</x:v>
      </x:c>
    </x:row>
    <x:row r="8">
      <x:c r="A8" t="s">
        <x:v>38</x:v>
      </x:c>
      <x:c r="B8" t="n">
        <x:f>AVERAGE(Raw_Data!A2:A152)</x:f>
        <x:v>2.5225165562913863</x:v>
      </x:c>
      <x:c r="C8" t="n">
        <x:v>0</x:v>
      </x:c>
      <x:c r="D8" t="s">
        <x:v>39</x:v>
      </x:c>
      <x:c r="E8" t="s">
        <x:v>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.140625" defaultRowHeight="15"/>
  <x:sheetData>
    <x:row r="1">
      <x:c r="A1" t="s">
        <x:v>41</x:v>
      </x:c>
      <x:c r="B1" t="s">
        <x:v>42</x:v>
      </x:c>
    </x:row>
    <x:row r="2">
      <x:c r="A2" t="s">
        <x:v>43</x:v>
      </x:c>
      <x:c r="B2" t="s">
        <x:v>44</x:v>
      </x:c>
    </x:row>
    <x:row r="3">
      <x:c r="A3" t="s">
        <x:v>45</x:v>
      </x:c>
      <x:c r="B3" t="s">
        <x:v>46</x:v>
      </x:c>
    </x:row>
    <x:row r="4">
      <x:c r="A4" t="s">
        <x:v>45</x:v>
      </x:c>
      <x:c r="B4" t="s">
        <x:v>47</x:v>
      </x:c>
    </x:row>
    <x:row r="5">
      <x:c r="A5" t="s">
        <x:v>45</x:v>
      </x:c>
      <x:c r="B5" t="s">
        <x:v>48</x:v>
      </x:c>
    </x:row>
    <x:row r="6">
      <x:c r="A6" t="s">
        <x:v>45</x:v>
      </x:c>
      <x:c r="B6" t="s">
        <x:v>49</x:v>
      </x:c>
    </x:row>
    <x:row r="7">
      <x:c r="A7" t="s">
        <x:v>45</x:v>
      </x:c>
      <x:c r="B7" t="s">
        <x:v>50</x:v>
      </x:c>
    </x:row>
    <x:row r="8">
      <x:c r="A8" t="s">
        <x:v>51</x:v>
      </x:c>
      <x:c r="B8" t="s">
        <x:v>52</x:v>
      </x:c>
    </x:row>
    <x:row r="9">
      <x:c r="A9" t="s">
        <x:v>51</x:v>
      </x:c>
      <x:c r="B9" t="s">
        <x:v>53</x:v>
      </x:c>
    </x:row>
    <x:row r="10">
      <x:c r="A10" t="s">
        <x:v>51</x:v>
      </x:c>
      <x:c r="B10" t="s">
        <x:v>54</x:v>
      </x:c>
    </x:row>
    <x:row r="11">
      <x:c r="A11" t="s">
        <x:v>55</x:v>
      </x:c>
      <x:c r="B11" t="s">
        <x:v>56</x:v>
      </x:c>
    </x:row>
    <x:row r="12">
      <x:c r="A12" t="s">
        <x:v>55</x:v>
      </x:c>
      <x:c r="B12" t="s">
        <x:v>57</x:v>
      </x:c>
    </x:row>
    <x:row r="13">
      <x:c r="A13" t="s">
        <x:v>58</x:v>
      </x:c>
      <x:c r="B13" t="s">
        <x:v>59</x:v>
      </x:c>
    </x:row>
    <x:row r="14">
      <x:c r="A14" t="s">
        <x:v>58</x:v>
      </x:c>
      <x:c r="B14" t="s">
        <x:v>60</x:v>
      </x:c>
    </x:row>
    <x:row r="15">
      <x:c r="A15" t="s">
        <x:v>58</x:v>
      </x:c>
      <x:c r="B15" t="s">
        <x:v>61</x:v>
      </x:c>
    </x:row>
    <x:row r="16">
      <x:c r="A16" t="s">
        <x:v>62</x:v>
      </x:c>
      <x:c r="B16" t="s">
        <x:v>63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1" hidden="0" customWidth="1"/>
    <x:col min="5" max="5" width="18" hidden="0" customWidth="1"/>
    <x:col min="6" max="6" width="45" hidden="0" customWidth="1"/>
    <x:col min="7" max="7" width="18" hidden="0" customWidth="1"/>
    <x:col min="8" max="8" width="18" hidden="0" customWidth="1"/>
  </x:cols>
  <x:sheetData>
    <x:row r="1">
      <x:c r="A1" s="6" t="str">
        <x:v>SOURCE-CONFIRMED DATA CORRECTION AUDIT — 4 h₁ VALUES</x:v>
      </x:c>
      <x:c r="B1" s="6"/>
      <x:c r="C1" s="6"/>
      <x:c r="D1" s="6"/>
      <x:c r="E1" s="6"/>
      <x:c r="F1" s="6"/>
      <x:c r="G1" s="6"/>
      <x:c r="H1" s="6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>
      <x:c r="A3" s="16" t="str">
        <x:v>Dataset Index</x:v>
      </x:c>
      <x:c r="B3" s="16" t="str">
        <x:v>Split</x:v>
      </x:c>
      <x:c r="C3" s="16" t="str">
        <x:v>h₁ original (cm)</x:v>
      </x:c>
      <x:c r="D3" s="16" t="str">
        <x:v>h₁ corrected (cm)</x:v>
      </x:c>
      <x:c r="E3" s="16" t="str">
        <x:v>Y original</x:v>
      </x:c>
      <x:c r="F3" s="16" t="str">
        <x:v>Y corrected</x:v>
      </x:c>
      <x:c r="G3" s="16" t="str">
        <x:v>X original</x:v>
      </x:c>
      <x:c r="H3" s="16" t="str">
        <x:v>X corrected</x:v>
      </x:c>
    </x:row>
    <x:row r="4">
      <x:c r="A4" s="22" t="n">
        <x:v>14</x:v>
      </x:c>
      <x:c r="B4" s="22" t="str">
        <x:v>Test</x:v>
      </x:c>
      <x:c r="C4" s="24" t="n">
        <x:v>7.5</x:v>
      </x:c>
      <x:c r="D4" s="24" t="n">
        <x:v>2.5</x:v>
      </x:c>
      <x:c r="E4" s="24" t="n">
        <x:v>2.146666666666667</x:v>
      </x:c>
      <x:c r="F4" s="24" t="n">
        <x:v>6.44</x:v>
      </x:c>
      <x:c r="G4" s="24" t="n">
        <x:v>9.066666666666666</x:v>
      </x:c>
      <x:c r="H4" s="24" t="n">
        <x:v>27.2</x:v>
      </x:c>
    </x:row>
    <x:row r="5">
      <x:c r="A5" s="22" t="n">
        <x:v>61</x:v>
      </x:c>
      <x:c r="B5" s="22" t="str">
        <x:v>Train</x:v>
      </x:c>
      <x:c r="C5" s="24" t="n">
        <x:v>1</x:v>
      </x:c>
      <x:c r="D5" s="24" t="n">
        <x:v>1.6</x:v>
      </x:c>
      <x:c r="E5" s="24" t="n">
        <x:v>13.8</x:v>
      </x:c>
      <x:c r="F5" s="24" t="n">
        <x:v>8.625</x:v>
      </x:c>
      <x:c r="G5" s="24" t="n">
        <x:v>59</x:v>
      </x:c>
      <x:c r="H5" s="24" t="n">
        <x:v>36.875</x:v>
      </x:c>
    </x:row>
    <x:row r="6">
      <x:c r="A6" s="22" t="n">
        <x:v>122</x:v>
      </x:c>
      <x:c r="B6" s="22" t="str">
        <x:v>Train</x:v>
      </x:c>
      <x:c r="C6" s="24" t="n">
        <x:v>1.4</x:v>
      </x:c>
      <x:c r="D6" s="24" t="n">
        <x:v>2.4</x:v>
      </x:c>
      <x:c r="E6" s="24" t="n">
        <x:v>16.07142857142857</x:v>
      </x:c>
      <x:c r="F6" s="24" t="n">
        <x:v>9.375</x:v>
      </x:c>
      <x:c r="G6" s="24" t="n">
        <x:v>51.42857142857143</x:v>
      </x:c>
      <x:c r="H6" s="24" t="n">
        <x:v>30</x:v>
      </x:c>
    </x:row>
    <x:row r="7">
      <x:c r="A7" s="22" t="n">
        <x:v>126</x:v>
      </x:c>
      <x:c r="B7" s="22" t="str">
        <x:v>Train</x:v>
      </x:c>
      <x:c r="C7" s="24" t="n">
        <x:v>1.4</x:v>
      </x:c>
      <x:c r="D7" s="24" t="n">
        <x:v>3.4</x:v>
      </x:c>
      <x:c r="E7" s="24" t="n">
        <x:v>13.78571428571429</x:v>
      </x:c>
      <x:c r="F7" s="24" t="n">
        <x:v>5.676470588235294</x:v>
      </x:c>
      <x:c r="G7" s="24" t="n">
        <x:v>40.71428571428572</x:v>
      </x:c>
      <x:c r="H7" s="24" t="n">
        <x:v>16.764705882352942</x:v>
      </x:c>
    </x:row>
    <x:row r="8">
      <x:c r="A8" s="22"/>
      <x:c r="B8" s="22"/>
      <x:c r="C8" s="22"/>
      <x:c r="D8" s="22"/>
      <x:c r="E8" s="22"/>
      <x:c r="F8" s="22"/>
      <x:c r="G8" s="22"/>
      <x:c r="H8" s="22"/>
    </x:row>
    <x:row r="9">
      <x:c r="A9" s="22"/>
      <x:c r="B9" s="22"/>
      <x:c r="C9" s="22"/>
      <x:c r="D9" s="22"/>
      <x:c r="E9" s="22"/>
      <x:c r="F9" s="22"/>
      <x:c r="G9" s="22"/>
      <x:c r="H9" s="22"/>
    </x:row>
    <x:row r="10">
      <x:c r="A10" s="16" t="str">
        <x:v>Metric</x:v>
      </x:c>
      <x:c r="B10" s="16" t="str">
        <x:v>Original</x:v>
      </x:c>
      <x:c r="C10" s="16" t="str">
        <x:v>Corrected</x:v>
      </x:c>
      <x:c r="D10" s="16" t="str">
        <x:v>Absolute change</x:v>
      </x:c>
      <x:c r="E10" s="16" t="str">
        <x:v>Relative change</x:v>
      </x:c>
      <x:c r="F10" s="16" t="str">
        <x:v>Interpretation</x:v>
      </x:c>
      <x:c r="G10" s="22"/>
      <x:c r="H10" s="22"/>
    </x:row>
    <x:row r="11">
      <x:c r="A11" s="22" t="str">
        <x:v>Mean h₁ (cm)</x:v>
      </x:c>
      <x:c r="B11" s="26" t="n">
        <x:v>2.5317880794701986</x:v>
      </x:c>
      <x:c r="C11" s="26" t="n">
        <x:v>2.522516556291391</x:v>
      </x:c>
      <x:c r="D11" s="26" t="n">
        <x:v>-0.0092715231788076</x:v>
      </x:c>
      <x:c r="E11" s="26" t="n">
        <x:v>-0.003662064</x:v>
      </x:c>
      <x:c r="F11" s="22" t="str">
        <x:v>Small mean shift; large correction concentrated in 4 records</x:v>
      </x:c>
      <x:c r="G11" s="22"/>
      <x:c r="H11" s="22"/>
    </x:row>
    <x:row r="12">
      <x:c r="A12" s="22" t="str">
        <x:v>SD h₁ (cm)</x:v>
      </x:c>
      <x:c r="B12" s="26" t="n">
        <x:v>0.8026930389571638</x:v>
      </x:c>
      <x:c r="C12" s="26" t="n">
        <x:v>0.6766754205112387</x:v>
      </x:c>
      <x:c r="D12" s="26" t="n">
        <x:v>-0.1260176184459251</x:v>
      </x:c>
      <x:c r="E12" s="26" t="n">
        <x:v>-0.156988</x:v>
      </x:c>
      <x:c r="F12" s="22" t="str">
        <x:v>Removes spurious extreme h₁ values</x:v>
      </x:c>
      <x:c r="G12" s="22"/>
      <x:c r="H12" s="22"/>
    </x:row>
    <x:row r="13">
      <x:c r="A13" s="22" t="str">
        <x:v>Mean Y</x:v>
      </x:c>
      <x:c r="B13" s="26" t="n">
        <x:v>7.535565515329578</x:v>
      </x:c>
      <x:c r="C13" s="26" t="n">
        <x:v>7.431675853504584</x:v>
      </x:c>
      <x:c r="D13" s="26" t="n">
        <x:v>-0.103889661824994</x:v>
      </x:c>
      <x:c r="E13" s="26" t="n">
        <x:v>-0.013786</x:v>
      </x:c>
      <x:c r="F13" s="22" t="str">
        <x:v>Moderate global shift</x:v>
      </x:c>
      <x:c r="G13" s="22"/>
      <x:c r="H13" s="22"/>
    </x:row>
    <x:row r="14">
      <x:c r="A14" s="22" t="str">
        <x:v>SD Y</x:v>
      </x:c>
      <x:c r="B14" s="26" t="n">
        <x:v>2.7031054147313576</x:v>
      </x:c>
      <x:c r="C14" s="26" t="n">
        <x:v>2.4811358643752826</x:v>
      </x:c>
      <x:c r="D14" s="26" t="n">
        <x:v>-0.221969550356075</x:v>
      </x:c>
      <x:c r="E14" s="26" t="n">
        <x:v>-0.082115</x:v>
      </x:c>
      <x:c r="F14" s="22" t="str">
        <x:v>Reduced artificial spread</x:v>
      </x:c>
      <x:c r="G14" s="22"/>
      <x:c r="H14" s="22"/>
    </x:row>
    <x:row r="15">
      <x:c r="A15" s="22" t="str">
        <x:v>Mean S</x:v>
      </x:c>
      <x:c r="B15" s="26" t="n">
        <x:v>3.066009792021355</x:v>
      </x:c>
      <x:c r="C15" s="26" t="n">
        <x:v>3.026254287170408</x:v>
      </x:c>
      <x:c r="D15" s="26" t="n">
        <x:v>-0.039755504850947</x:v>
      </x:c>
      <x:c r="E15" s="26" t="n">
        <x:v>-0.012967</x:v>
      </x:c>
      <x:c r="F15" s="22" t="str">
        <x:v>Small global shift</x:v>
      </x:c>
      <x:c r="G15" s="22"/>
      <x:c r="H15" s="22"/>
    </x:row>
    <x:row r="16">
      <x:c r="A16" s="22" t="str">
        <x:v>Mean X</x:v>
      </x:c>
      <x:c r="B16" s="26" t="n">
        <x:v>27.574364542351585</x:v>
      </x:c>
      <x:c r="C16" s="26" t="n">
        <x:v>27.247412105747806</x:v>
      </x:c>
      <x:c r="D16" s="26" t="n">
        <x:v>-0.326952436603779</x:v>
      </x:c>
      <x:c r="E16" s="26" t="n">
        <x:v>-0.011857</x:v>
      </x:c>
      <x:c r="F16" s="22" t="str">
        <x:v>Small mean shift, but large row-level changes</x:v>
      </x:c>
      <x:c r="G16" s="22"/>
      <x:c r="H16" s="22"/>
    </x:row>
    <x:row r="17">
      <x:c r="A17" s="22" t="str">
        <x:v>Observed PVI (%)</x:v>
      </x:c>
      <x:c r="B17" s="26" t="n">
        <x:v>5.960264900662252</x:v>
      </x:c>
      <x:c r="C17" s="26" t="n">
        <x:v>3.9735099337748343</x:v>
      </x:c>
      <x:c r="D17" s="26" t="n">
        <x:v>-1.9867549668874178</x:v>
      </x:c>
      <x:c r="E17" s="26" t="n">
        <x:v>-0.333333</x:v>
      </x:c>
      <x:c r="F17" s="22" t="str">
        <x:v>Violations fall from 9/151 to 6/151</x:v>
      </x:c>
      <x:c r="G17" s="22"/>
      <x:c r="H17" s="22"/>
    </x:row>
    <x:row r="18">
      <x:c r="A18" s="22" t="str">
        <x:v>Analytical X baseline R² — all 151</x:v>
      </x:c>
      <x:c r="B18" s="26" t="n">
        <x:v>0.9235708697830204</x:v>
      </x:c>
      <x:c r="C18" s="26" t="n">
        <x:v>0.9999944659186286</x:v>
      </x:c>
      <x:c r="D18" s="26" t="n">
        <x:v>0.0764235961356082</x:v>
      </x:c>
      <x:c r="E18" s="26" t="n">
        <x:v>0.082748</x:v>
      </x:c>
      <x:c r="F18" s="22" t="str">
        <x:v>Becomes essentially exact after correction</x:v>
      </x:c>
      <x:c r="G18" s="22"/>
      <x:c r="H18" s="22"/>
    </x:row>
    <x:row r="19">
      <x:c r="A19" s="22" t="str">
        <x:v>Analytical X baseline RMSE — all 151</x:v>
      </x:c>
      <x:c r="B19" s="26" t="n">
        <x:v>3.425493757056772</x:v>
      </x:c>
      <x:c r="C19" s="26" t="n">
        <x:v>0.027942584473945722</x:v>
      </x:c>
      <x:c r="D19" s="26" t="n">
        <x:v>-3.397551172582826</x:v>
      </x:c>
      <x:c r="E19" s="26" t="n">
        <x:v>-0.991843</x:v>
      </x:c>
      <x:c r="F19" s="22" t="str">
        <x:v>≈99.2% reduction</x:v>
      </x:c>
      <x:c r="G19" s="22"/>
      <x:c r="H19" s="22"/>
    </x:row>
    <x:row r="20">
      <x:c r="A20" s="22" t="str">
        <x:v>Analytical X baseline MAE — all 151</x:v>
      </x:c>
      <x:c r="B20" s="26" t="n">
        <x:v>0.5706800492898685</x:v>
      </x:c>
      <x:c r="C20" s="26" t="n">
        <x:v>0.01711313467502156</x:v>
      </x:c>
      <x:c r="D20" s="26" t="n">
        <x:v>-0.5535669146148469</x:v>
      </x:c>
      <x:c r="E20" s="26" t="n">
        <x:v>-0.970018</x:v>
      </x:c>
      <x:c r="F20" s="22" t="str">
        <x:v>≈97.0% reduction</x:v>
      </x:c>
      <x:c r="G20" s="22"/>
      <x:c r="H20" s="22"/>
    </x:row>
    <x:row r="21">
      <x:c r="A21" s="22" t="str">
        <x:v>Analytical X baseline R² — fixed test</x:v>
      </x:c>
      <x:c r="B21" s="26" t="n">
        <x:v>0.940363254610024</x:v>
      </x:c>
      <x:c r="C21" s="26" t="n">
        <x:v>0.9999968429215579</x:v>
      </x:c>
      <x:c r="D21" s="26" t="n">
        <x:v>0.0596335883115339</x:v>
      </x:c>
      <x:c r="E21" s="26" t="n">
        <x:v>0.063417</x:v>
      </x:c>
      <x:c r="F21" s="22" t="str">
        <x:v>Test baseline becomes essentially exact</x:v>
      </x:c>
      <x:c r="G21" s="22"/>
      <x:c r="H21" s="22"/>
    </x:row>
    <x:row r="22">
      <x:c r="A22" s="22"/>
      <x:c r="B22" s="22"/>
      <x:c r="C22" s="22"/>
      <x:c r="D22" s="22"/>
      <x:c r="E22" s="22"/>
      <x:c r="F22" s="22"/>
      <x:c r="G22" s="22"/>
      <x:c r="H22" s="22"/>
    </x:row>
    <x:row r="23">
      <x:c r="A23" s="22"/>
      <x:c r="B23" s="22"/>
      <x:c r="C23" s="22"/>
      <x:c r="D23" s="22"/>
      <x:c r="E23" s="22"/>
      <x:c r="F23" s="22"/>
      <x:c r="G23" s="22"/>
      <x:c r="H23" s="22"/>
    </x:row>
    <x:row r="24">
      <x:c r="A24" s="16" t="str">
        <x:v>Decision item</x:v>
      </x:c>
      <x:c r="B24" s="16" t="str">
        <x:v>Finding</x:v>
      </x:c>
      <x:c r="C24" s="16" t="str">
        <x:v>Scientific consequence</x:v>
      </x:c>
      <x:c r="D24" s="16" t="str">
        <x:v>Action</x:v>
      </x:c>
      <x:c r="E24" s="16" t="str">
        <x:v>Status</x:v>
      </x:c>
      <x:c r="F24" s="16" t="str">
        <x:v>Priority</x:v>
      </x:c>
      <x:c r="G24" s="22"/>
      <x:c r="H24" s="22"/>
    </x:row>
    <x:row r="25">
      <x:c r="A25" s="22" t="str">
        <x:v>γ classes / split</x:v>
      </x:c>
      <x:c r="B25" s="22" t="str">
        <x:v>Unchanged</x:v>
      </x:c>
      <x:c r="C25" s="22" t="str">
        <x:v>No reclassification caused by the four h₁ corrections</x:v>
      </x:c>
      <x:c r="D25" s="22" t="str">
        <x:v>Preserve current γ classes and Train/Test labels</x:v>
      </x:c>
      <x:c r="E25" s="22" t="str">
        <x:v>Confirmed</x:v>
      </x:c>
      <x:c r="F25" s="22" t="str">
        <x:v>Low</x:v>
      </x:c>
      <x:c r="G25" s="22"/>
      <x:c r="H25" s="22"/>
    </x:row>
    <x:row r="26">
      <x:c r="A26" s="22" t="str">
        <x:v>Observed PVI</x:v>
      </x:c>
      <x:c r="B26" s="22" t="str">
        <x:v>5.96% → 3.97%</x:v>
      </x:c>
      <x:c r="C26" s="22" t="str">
        <x:v>Existing observed-admissibility statement changes</x:v>
      </x:c>
      <x:c r="D26" s="22" t="str">
        <x:v>Update after retraining/reanalysis</x:v>
      </x:c>
      <x:c r="E26" s="22" t="str">
        <x:v>Confirmed</x:v>
      </x:c>
      <x:c r="F26" s="22" t="str">
        <x:v>High</x:v>
      </x:c>
      <x:c r="G26" s="22"/>
      <x:c r="H26" s="22"/>
    </x:row>
    <x:row r="27">
      <x:c r="A27" s="22" t="str">
        <x:v>X analytical baseline</x:v>
      </x:c>
      <x:c r="B27" s="22" t="str">
        <x:v>R² ≈ 0.999994</x:v>
      </x:c>
      <x:c r="C27" s="22" t="str">
        <x:v>X is algebraically recoverable from Fr₁, γ and branch selection</x:v>
      </x:c>
      <x:c r="D27" s="22" t="str">
        <x:v>Reframe X as reconstruction/consistency quantity</x:v>
      </x:c>
      <x:c r="E27" s="22" t="str">
        <x:v>Confirmed</x:v>
      </x:c>
      <x:c r="F27" s="22" t="str">
        <x:v>Critical</x:v>
      </x:c>
      <x:c r="G27" s="22"/>
      <x:c r="H27" s="22"/>
    </x:row>
    <x:row r="28">
      <x:c r="A28" s="22" t="str">
        <x:v>Training data</x:v>
      </x:c>
      <x:c r="B28" s="22" t="str">
        <x:v>3 corrected records are in Train</x:v>
      </x:c>
      <x:c r="C28" s="22" t="str">
        <x:v>Inputs and labels Y/S/X change materially</x:v>
      </x:c>
      <x:c r="D28" s="22" t="str">
        <x:v>Controlled retraining is required</x:v>
      </x:c>
      <x:c r="E28" s="22" t="str">
        <x:v>Required</x:v>
      </x:c>
      <x:c r="F28" s="22" t="str">
        <x:v>Critical</x:v>
      </x:c>
      <x:c r="G28" s="22"/>
      <x:c r="H28" s="22"/>
    </x:row>
    <x:row r="29">
      <x:c r="A29" s="22" t="str">
        <x:v>Fixed test data</x:v>
      </x:c>
      <x:c r="B29" s="22" t="str">
        <x:v>1 corrected record is in Test</x:v>
      </x:c>
      <x:c r="C29" s="22" t="str">
        <x:v>Locked fixed-test metrics are no longer valid for corrected dataset</x:v>
      </x:c>
      <x:c r="D29" s="22" t="str">
        <x:v>Recompute fixed-split results</x:v>
      </x:c>
      <x:c r="E29" s="22" t="str">
        <x:v>Required</x:v>
      </x:c>
      <x:c r="F29" s="22" t="str">
        <x:v>Critical</x:v>
      </x:c>
      <x:c r="G29" s="22"/>
      <x:c r="H29" s="22"/>
    </x:row>
    <x:row r="30">
      <x:c r="A30" s="22" t="str">
        <x:v>F5.0 manuscript</x:v>
      </x:c>
      <x:c r="B30" s="22" t="str">
        <x:v>Uses uncorrected data-derived ranges/results</x:v>
      </x:c>
      <x:c r="C30" s="22" t="str">
        <x:v>Some tables, PVI and X interpretation are affected</x:v>
      </x:c>
      <x:c r="D30" s="22" t="str">
        <x:v>Keep frozen; revise only after corrected rerun</x:v>
      </x:c>
      <x:c r="E30" s="22" t="str">
        <x:v>Frozen</x:v>
      </x:c>
      <x:c r="F30" s="22" t="str">
        <x:v>Critical</x:v>
      </x:c>
      <x:c r="G30" s="22"/>
      <x:c r="H30" s="22"/>
    </x:row>
    <x:row r="31">
      <x:c r="A31" s="22"/>
      <x:c r="B31" s="22"/>
      <x:c r="C31" s="22"/>
      <x:c r="D31" s="22"/>
      <x:c r="E31" s="22"/>
      <x:c r="F31" s="22"/>
      <x:c r="G31" s="22"/>
      <x:c r="H31" s="22"/>
    </x:row>
    <x:row r="32">
      <x:c r="A32" s="22"/>
      <x:c r="B32" s="22"/>
      <x:c r="C32" s="22"/>
      <x:c r="D32" s="22"/>
      <x:c r="E32" s="22"/>
      <x:c r="F32" s="22"/>
      <x:c r="G32" s="22"/>
      <x:c r="H32" s="22"/>
    </x:row>
    <x:row r="33">
      <x:c r="A33" s="16" t="str">
        <x:v>Forensic conclusion</x:v>
      </x:c>
      <x:c r="B33" s="16" t="str">
        <x:v>CONFIRMED SOURCE-LEVEL TRANSCRIPTION ERRORS — HIGH CONFIDENCE</x:v>
      </x:c>
      <x:c r="C33" s="22"/>
      <x:c r="D33" s="22"/>
      <x:c r="E33" s="22"/>
      <x:c r="F33" s="22"/>
      <x:c r="G33" s="22"/>
      <x:c r="H33" s="22"/>
    </x:row>
    <x:row r="34">
      <x:c r="A34" s="22"/>
      <x:c r="B34" s="22"/>
      <x:c r="C34" s="22"/>
      <x:c r="D34" s="22"/>
      <x:c r="E34" s="22"/>
      <x:c r="F34" s="22"/>
      <x:c r="G34" s="22"/>
      <x:c r="H34" s="22"/>
    </x:row>
    <x:row r="35">
      <x:c r="A35" s="22" t="str">
        <x:v>Index 14</x:v>
      </x:c>
      <x:c r="B35" s="22" t="str">
        <x:v>Confirmed by thesis Table 1.6: Fr1=4.99, Y=6.44; h2=16.1 cm =&gt; h1=2.50 cm</x:v>
      </x:c>
      <x:c r="C35" s="22"/>
      <x:c r="D35" s="22"/>
      <x:c r="E35" s="22"/>
      <x:c r="F35" s="22"/>
      <x:c r="G35" s="22"/>
      <x:c r="H35" s="22"/>
    </x:row>
    <x:row r="36">
      <x:c r="A36" s="22" t="str">
        <x:v>Index 61</x:v>
      </x:c>
      <x:c r="B36" s="22" t="str">
        <x:v>Confirmed by thesis Table 1.6: Fr1=7.16, Y=8.63; h2=13.8 cm =&gt; h1≈1.60 cm</x:v>
      </x:c>
      <x:c r="C36" s="22"/>
      <x:c r="D36" s="22"/>
      <x:c r="E36" s="22"/>
      <x:c r="F36" s="22"/>
      <x:c r="G36" s="22"/>
      <x:c r="H36" s="22"/>
    </x:row>
    <x:row r="37">
      <x:c r="A37" s="22" t="str">
        <x:v>Index 122</x:v>
      </x:c>
      <x:c r="B37" s="22" t="str">
        <x:v>Confirmed by thesis Table 1.6: Fr1=7.74, Y=9.38; h2=22.5 cm =&gt; h1≈2.40 cm</x:v>
      </x:c>
      <x:c r="C37" s="22"/>
      <x:c r="D37" s="22"/>
      <x:c r="E37" s="22"/>
      <x:c r="F37" s="22"/>
      <x:c r="G37" s="22"/>
      <x:c r="H37" s="22"/>
    </x:row>
    <x:row r="38">
      <x:c r="A38" s="22" t="str">
        <x:v>Index 126</x:v>
      </x:c>
      <x:c r="B38" s="22" t="str">
        <x:v>Confirmed by thesis Table 1.6: Fr1=5.09, Y=5.68; h2=19.3 cm =&gt; h1≈3.40 cm</x:v>
      </x:c>
      <x:c r="C38" s="22"/>
      <x:c r="D38" s="22"/>
      <x:c r="E38" s="22"/>
      <x:c r="F38" s="22"/>
      <x:c r="G38" s="22"/>
      <x:c r="H38" s="22"/>
    </x:row>
    <x:row r="39">
      <x:c r="A39" s="22" t="str">
        <x:v>Control rule</x:v>
      </x:c>
      <x:c r="B39" s="22" t="str">
        <x:v>Only h₁ was altered in Raw_Data; Fr₁, s, x, h₂, Lr*, γ, γ-class and split were preserved.</x:v>
      </x:c>
      <x:c r="C39" s="22"/>
      <x:c r="D39" s="22"/>
      <x:c r="E39" s="22"/>
      <x:c r="F39" s="22"/>
      <x:c r="G39" s="22"/>
      <x:c r="H39" s="22"/>
    </x:row>
  </x:sheetData>
  <x:mergeCells>
    <x:mergeCell ref="A1:H1"/>
  </x:mergeCells>
  <x:pageMargins left="0.7" right="0.7" top="0.75" bottom="0.75" header="0.3" footer="0.3"/>
</x:worksheet>
</file>